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hohne\OneDrive - University of Massachusetts Dartmouth\Analyses\NCLIM\hydra_NCLIM\Stomach content data\"/>
    </mc:Choice>
  </mc:AlternateContent>
  <xr:revisionPtr revIDLastSave="0" documentId="13_ncr:1_{3027351F-A628-484D-BFE8-7E148AE34043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README" sheetId="1" r:id="rId1"/>
    <sheet name="Atlantic cod" sheetId="2" r:id="rId2"/>
    <sheet name="Haddock" sheetId="3" r:id="rId3"/>
    <sheet name="Silver hake" sheetId="4" r:id="rId4"/>
    <sheet name="Yellowtail flound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5" l="1"/>
  <c r="K44" i="5"/>
  <c r="J44" i="5"/>
  <c r="I44" i="5"/>
  <c r="H44" i="5"/>
  <c r="L45" i="4"/>
  <c r="K45" i="4"/>
  <c r="J45" i="4"/>
  <c r="I45" i="4"/>
  <c r="H45" i="4"/>
  <c r="L67" i="3"/>
  <c r="K67" i="3"/>
  <c r="J67" i="3"/>
  <c r="I67" i="3"/>
  <c r="H67" i="3"/>
  <c r="L62" i="2"/>
  <c r="K62" i="2"/>
  <c r="J62" i="2"/>
  <c r="I62" i="2"/>
  <c r="H62" i="2"/>
  <c r="F67" i="3"/>
  <c r="E67" i="3"/>
  <c r="D67" i="3"/>
  <c r="C67" i="3"/>
  <c r="B67" i="3"/>
  <c r="F44" i="5"/>
  <c r="E44" i="5"/>
  <c r="D44" i="5"/>
  <c r="C44" i="5"/>
  <c r="B44" i="5"/>
  <c r="F45" i="4"/>
  <c r="E45" i="4"/>
  <c r="D45" i="4"/>
  <c r="C45" i="4"/>
  <c r="B45" i="4"/>
  <c r="F62" i="2"/>
  <c r="E62" i="2"/>
  <c r="D62" i="2"/>
  <c r="C62" i="2"/>
  <c r="B62" i="2"/>
</calcChain>
</file>

<file path=xl/sharedStrings.xml><?xml version="1.0" encoding="utf-8"?>
<sst xmlns="http://schemas.openxmlformats.org/spreadsheetml/2006/main" count="402" uniqueCount="214">
  <si>
    <t>Digitized stomach-content tables — species overlap with the Gaichas et al. (2017) Hydra model</t>
  </si>
  <si>
    <t>Source report: Bowman, R.E. &amp; Michaels, W.L. (1984). Food of Seventeen Species of Northwest</t>
  </si>
  <si>
    <t>Atlantic Fish. NOAA Technical Memorandum NMFS-F/NEC-28. Tables 3-19 present stomach-content</t>
  </si>
  <si>
    <t>composition (% of total stomach content weight) by fish length category for 17 NW Atlantic species.</t>
  </si>
  <si>
    <t>SPECIES OVERLAP FINDING</t>
  </si>
  <si>
    <t>This workbook was scoped to species modeled in the Hydra multispecies model for Georges Bank</t>
  </si>
  <si>
    <t>(Gaichas, S.K., Fogarty, M., Fay, G., Gamble, R., Lucey, S., Smith, L. 2017. ICES J. Mar. Sci. 74(2):552-565).</t>
  </si>
  <si>
    <t>Hydra models 10 species: spiny dogfish, winter skate, Atlantic herring, Atlantic mackerel,</t>
  </si>
  <si>
    <t>Atlantic cod, silver hake, monkfish (goosefish), haddock, yellowtail flounder, winter flounder.</t>
  </si>
  <si>
    <t>Of these 10, only 4 are covered by the Bowman &amp; Michaels (1984) report:</t>
  </si>
  <si>
    <t xml:space="preserve">  - Atlantic cod (Gadus morhua)  -- Table 4</t>
  </si>
  <si>
    <t xml:space="preserve">  - Haddock (Melanogrammus aeglefinus)  -- Table 5</t>
  </si>
  <si>
    <t xml:space="preserve">  - Silver hake (Merluccius bilinearis)  -- Table 6</t>
  </si>
  <si>
    <t xml:space="preserve">  - Yellowtail flounder (Limanda ferruginea)  -- Table 19</t>
  </si>
  <si>
    <t>The remaining 6 Hydra species are NOT covered by this report and could not be digitized from it:</t>
  </si>
  <si>
    <t xml:space="preserve">  spiny dogfish, winter skate, Atlantic herring, Atlantic mackerel, monkfish, winter flounder.</t>
  </si>
  <si>
    <t xml:space="preserve">  (Note: the report's "little skate" is a different species from Hydra's "winter skate".)</t>
  </si>
  <si>
    <t>SHEETS IN THIS WORKBOOK</t>
  </si>
  <si>
    <t xml:space="preserve">  - Atlantic cod, Haddock, Silver hake, Yellowtail flounder: one sheet per species</t>
  </si>
  <si>
    <t>DATA NOTES</t>
  </si>
  <si>
    <t>- Values are % of total stomach content weight for that prey item, within each fish length bin.</t>
  </si>
  <si>
    <t>- Indentation shows taxonomic hierarchy (e.g. major group &gt; order/family &gt; genus/species); major</t>
  </si>
  <si>
    <t xml:space="preserve">  group rows (shaded) are row totals for their indented sub-items.</t>
  </si>
  <si>
    <t>- Blank cells = value reported as "-" in the source (prey item not recorded in that length bin).</t>
  </si>
  <si>
    <t>- Cells shown as "&lt;0.1" are reproduced as text exactly as printed in the source (trace amount).</t>
  </si>
  <si>
    <t>- Footer rows give number of stomachs examined, number empty, mean stomach content weight (g),</t>
  </si>
  <si>
    <t xml:space="preserve">  and mean fish length (cm) for each length bin, as reported in the source.</t>
  </si>
  <si>
    <t>- Digitized directly from scanned page images of the source PDF (not OCR text extraction) and</t>
  </si>
  <si>
    <t xml:space="preserve">  cross-checked against column headers; two minor yellowtail flounder rows (Bivalvia, Ascidiacea)</t>
  </si>
  <si>
    <t xml:space="preserve">  had lower image legibility at time of transcription and were set equal to their single parent</t>
  </si>
  <si>
    <t xml:space="preserve">  category (Mollusca, Urochordata) on that basis -- flagged here for user spot-check if precision</t>
  </si>
  <si>
    <t xml:space="preserve">  on those two rows matters for downstream use.</t>
  </si>
  <si>
    <t>Stomach contents of Atlantic cod (Gadus morhua)</t>
  </si>
  <si>
    <t>Composition of stomach contents, expressed as percentage of total stomach contents weight, by fish length category</t>
  </si>
  <si>
    <t>Source: Bowman, R.E. &amp; Michaels, W.L. (1984). Food of Seventeen Species of Northwest Atlantic Fish. NOAA Technical Memorandum NMFS-F/NEC-28.</t>
  </si>
  <si>
    <t>Stomach contents / Length category (FL, cm)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</si>
  <si>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</si>
  <si>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</si>
  <si>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</si>
  <si>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</si>
  <si>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</si>
  <si>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</si>
  <si>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</si>
  <si>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</si>
  <si>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</si>
  <si>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</si>
  <si>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</si>
  <si>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</si>
  <si>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</si>
  <si>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</si>
  <si>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</si>
  <si>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</si>
  <si>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</si>
  <si>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</si>
  <si>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96-100</t>
  </si>
  <si>
    <t>101-105</t>
  </si>
  <si>
    <t>106-110</t>
  </si>
  <si>
    <t>&gt;110</t>
  </si>
  <si>
    <t>COELENTERATA</t>
  </si>
  <si>
    <t>POLYCHAETA</t>
  </si>
  <si>
    <t xml:space="preserve">  Aphroditidae</t>
  </si>
  <si>
    <t>&lt;0.1</t>
  </si>
  <si>
    <t xml:space="preserve">  Other Polychaeta</t>
  </si>
  <si>
    <t>CRUSTACEA</t>
  </si>
  <si>
    <t xml:space="preserve">  Decapoda</t>
  </si>
  <si>
    <t xml:space="preserve">    Axius serratus</t>
  </si>
  <si>
    <t xml:space="preserve">    Cancer borealis</t>
  </si>
  <si>
    <t xml:space="preserve">    Cancer irroratus</t>
  </si>
  <si>
    <t xml:space="preserve">    Geryon quinquedens</t>
  </si>
  <si>
    <t xml:space="preserve">    Hyas coarctatus</t>
  </si>
  <si>
    <t xml:space="preserve">    Pagurus acadianus</t>
  </si>
  <si>
    <t xml:space="preserve">    Dichelopandalus leptocerus</t>
  </si>
  <si>
    <t xml:space="preserve">    Pandalus montagui</t>
  </si>
  <si>
    <t xml:space="preserve">    Other Pandalidae</t>
  </si>
  <si>
    <t xml:space="preserve">    Other Decapoda</t>
  </si>
  <si>
    <t xml:space="preserve">  Other Crustacea</t>
  </si>
  <si>
    <t>MOLLUSCA</t>
  </si>
  <si>
    <t xml:space="preserve">  Pelecypoda</t>
  </si>
  <si>
    <t xml:space="preserve">    Cyrtodaria siliqua</t>
  </si>
  <si>
    <t xml:space="preserve">    Pectinidae</t>
  </si>
  <si>
    <t xml:space="preserve">    Other Pelecypoda</t>
  </si>
  <si>
    <t xml:space="preserve">  Cephalopoda</t>
  </si>
  <si>
    <t xml:space="preserve">    Loligo sp.</t>
  </si>
  <si>
    <t xml:space="preserve">    Other Cephalopoda</t>
  </si>
  <si>
    <t xml:space="preserve">  Other Mollusca</t>
  </si>
  <si>
    <t>ECHINODERMATA</t>
  </si>
  <si>
    <t xml:space="preserve">  Ophiuroidea</t>
  </si>
  <si>
    <t xml:space="preserve">  Holothuroidea</t>
  </si>
  <si>
    <t xml:space="preserve">  Other Echinodermata</t>
  </si>
  <si>
    <t>PISCES</t>
  </si>
  <si>
    <t xml:space="preserve">  Batrachoididae</t>
  </si>
  <si>
    <t xml:space="preserve">  Clupea harengus</t>
  </si>
  <si>
    <t xml:space="preserve">  Other Clupeidae</t>
  </si>
  <si>
    <t xml:space="preserve">  Gadus morhua</t>
  </si>
  <si>
    <t xml:space="preserve">  Melanogrammus aeglefinus</t>
  </si>
  <si>
    <t xml:space="preserve">  Merluccius bilinearis</t>
  </si>
  <si>
    <t xml:space="preserve">  Other Gadidae</t>
  </si>
  <si>
    <t xml:space="preserve">  Ammodytes americanus</t>
  </si>
  <si>
    <t xml:space="preserve">  Cottidae</t>
  </si>
  <si>
    <t xml:space="preserve">  Scomber scombrus</t>
  </si>
  <si>
    <t xml:space="preserve">  Pomatomus saltatrix</t>
  </si>
  <si>
    <t xml:space="preserve">  Sebastes marinus</t>
  </si>
  <si>
    <t xml:space="preserve">  Hippoglossoides platessoides</t>
  </si>
  <si>
    <t xml:space="preserve">  Other Pleuronectiformes</t>
  </si>
  <si>
    <t xml:space="preserve">  Other Pisces</t>
  </si>
  <si>
    <t>MISCELLANEOUS</t>
  </si>
  <si>
    <t>SAND AND ROCK</t>
  </si>
  <si>
    <t>Number of stomachs examined</t>
  </si>
  <si>
    <t>Number of empty stomachs</t>
  </si>
  <si>
    <t>Mean stomach content weight (g)</t>
  </si>
  <si>
    <t>Stomach contents of Haddock (Melanogrammus aeglefinus)</t>
  </si>
  <si>
    <t>&gt;80</t>
  </si>
  <si>
    <t xml:space="preserve">  Ceriantharia</t>
  </si>
  <si>
    <t xml:space="preserve">  Other Anthozoa</t>
  </si>
  <si>
    <t xml:space="preserve">  Spionphanes bombyx</t>
  </si>
  <si>
    <t xml:space="preserve">  Other Spionidae</t>
  </si>
  <si>
    <t xml:space="preserve">  Nicomache lumbricalis</t>
  </si>
  <si>
    <t xml:space="preserve">  Sabellidae</t>
  </si>
  <si>
    <t xml:space="preserve">  Amphipoda</t>
  </si>
  <si>
    <t xml:space="preserve">    Unciola irrorata</t>
  </si>
  <si>
    <t xml:space="preserve">    Unciola serrata</t>
  </si>
  <si>
    <t xml:space="preserve">    Gammaridae</t>
  </si>
  <si>
    <t xml:space="preserve">    Leptocheirus pinguis</t>
  </si>
  <si>
    <t xml:space="preserve">    Other Amphipoda</t>
  </si>
  <si>
    <t xml:space="preserve">    Paguridae</t>
  </si>
  <si>
    <t xml:space="preserve">  Euphausiacea</t>
  </si>
  <si>
    <t xml:space="preserve">    Meganyctiphanes norvegica</t>
  </si>
  <si>
    <t xml:space="preserve">    Other Euphausiacea</t>
  </si>
  <si>
    <t xml:space="preserve">    Placopecten sp.</t>
  </si>
  <si>
    <t xml:space="preserve">  Gastropoda</t>
  </si>
  <si>
    <t xml:space="preserve">  Echinoidea</t>
  </si>
  <si>
    <t xml:space="preserve">    Stronglocentrotus drobachiensis</t>
  </si>
  <si>
    <t xml:space="preserve">    Echinarachnius parma</t>
  </si>
  <si>
    <t xml:space="preserve">    Other Echinoidea</t>
  </si>
  <si>
    <t xml:space="preserve">    Ophiura sarsi</t>
  </si>
  <si>
    <t xml:space="preserve">    Ophiura sp.</t>
  </si>
  <si>
    <t xml:space="preserve">    Amphiuridae</t>
  </si>
  <si>
    <t xml:space="preserve">    Ophiopholis aculeata</t>
  </si>
  <si>
    <t xml:space="preserve">    Other Ophiuroidea</t>
  </si>
  <si>
    <t xml:space="preserve">    Psolus sp.</t>
  </si>
  <si>
    <t xml:space="preserve">    Other Holothuroidea</t>
  </si>
  <si>
    <t xml:space="preserve">  Clupeidae</t>
  </si>
  <si>
    <t>Stomach contents of Silver hake (Merluccius bilinearis)</t>
  </si>
  <si>
    <t>1-5</t>
  </si>
  <si>
    <t>&gt;50</t>
  </si>
  <si>
    <t xml:space="preserve">    Ampeliscidae</t>
  </si>
  <si>
    <t xml:space="preserve">    Oedicerotidae</t>
  </si>
  <si>
    <t xml:space="preserve">    Parathemisto sp.</t>
  </si>
  <si>
    <t xml:space="preserve">    Crangon septemspinosa</t>
  </si>
  <si>
    <t xml:space="preserve">  Mysidacea</t>
  </si>
  <si>
    <t xml:space="preserve">    Neomysis americana</t>
  </si>
  <si>
    <t xml:space="preserve">  Cumacea</t>
  </si>
  <si>
    <t xml:space="preserve">  Copepoda</t>
  </si>
  <si>
    <t xml:space="preserve">  Loligo pealei</t>
  </si>
  <si>
    <t xml:space="preserve">  Other Cephalopoda</t>
  </si>
  <si>
    <t xml:space="preserve">  Scomberesox saurus</t>
  </si>
  <si>
    <t xml:space="preserve">  Phycis chesteri</t>
  </si>
  <si>
    <t xml:space="preserve">  Stenotomus chrysops</t>
  </si>
  <si>
    <t xml:space="preserve">  Peprilus triacanthus</t>
  </si>
  <si>
    <t>Stomach contents of Yellowtail flounder (Limanda ferruginea)</t>
  </si>
  <si>
    <t>Stomach contents / Length category (TL, cm)</t>
  </si>
  <si>
    <t>&gt;45</t>
  </si>
  <si>
    <t>NEMERTEA</t>
  </si>
  <si>
    <t xml:space="preserve">  Flabelligeridae</t>
  </si>
  <si>
    <t xml:space="preserve">  Maldanidae</t>
  </si>
  <si>
    <t xml:space="preserve">  Ampharetidae</t>
  </si>
  <si>
    <t xml:space="preserve">  Lumbrineridae</t>
  </si>
  <si>
    <t xml:space="preserve">  Nephtyidae</t>
  </si>
  <si>
    <t xml:space="preserve">    Byblis serrata</t>
  </si>
  <si>
    <t xml:space="preserve">    Other Ampeliscidae</t>
  </si>
  <si>
    <t xml:space="preserve">  Bivalvia</t>
  </si>
  <si>
    <t>UROCHORDATA</t>
  </si>
  <si>
    <t xml:space="preserve">  Ascidiacea</t>
  </si>
  <si>
    <t>Mean fish TL (cm)</t>
  </si>
  <si>
    <t>0-30cm</t>
  </si>
  <si>
    <t>31-45cm</t>
  </si>
  <si>
    <t>46-60cm</t>
  </si>
  <si>
    <t>61-75cm</t>
  </si>
  <si>
    <t>&gt;76-105cm</t>
  </si>
  <si>
    <t>0-15cm</t>
  </si>
  <si>
    <t>0-16cm</t>
  </si>
  <si>
    <t>16-26cm</t>
  </si>
  <si>
    <t>26-36cm</t>
  </si>
  <si>
    <t>36-41cm</t>
  </si>
  <si>
    <t>&gt;41cm</t>
  </si>
  <si>
    <t>15-25cm</t>
  </si>
  <si>
    <t>25-35cm</t>
  </si>
  <si>
    <t>&gt;45cm</t>
  </si>
  <si>
    <t>35-45cm</t>
  </si>
  <si>
    <t>0-20cm</t>
  </si>
  <si>
    <t>20-32cm</t>
  </si>
  <si>
    <t>32-42cm</t>
  </si>
  <si>
    <t>42-52cm</t>
  </si>
  <si>
    <t>&gt;52cm</t>
  </si>
  <si>
    <t>0-38cm</t>
  </si>
  <si>
    <t>38-56cm</t>
  </si>
  <si>
    <t>56-74cm</t>
  </si>
  <si>
    <t>74-92cm</t>
  </si>
  <si>
    <t>92-143cm</t>
  </si>
  <si>
    <t>0-31cm</t>
  </si>
  <si>
    <t>31-44cm</t>
  </si>
  <si>
    <t>44-57cm</t>
  </si>
  <si>
    <t>57-70cm</t>
  </si>
  <si>
    <t>70-100cm</t>
  </si>
  <si>
    <t>0-19cm</t>
  </si>
  <si>
    <t>19-29cm</t>
  </si>
  <si>
    <t>29-39cm</t>
  </si>
  <si>
    <t>39-49cm</t>
  </si>
  <si>
    <t>49-84cm</t>
  </si>
  <si>
    <t>0-22cm</t>
  </si>
  <si>
    <t>22-29cm</t>
  </si>
  <si>
    <t>29-36cm</t>
  </si>
  <si>
    <t>36-43cm</t>
  </si>
  <si>
    <t>43-67cm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</si>
</sst>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1"/>
      <name val="Arial"/>
    </font>
    <font>
      <b/>
      <sz val="10"/>
      <name val="Arial"/>
    </font>
    <font>
      <i/>
      <sz val="10"/>
      <name val="Arial"/>
    </font>
    <font>
      <i/>
      <sz val="9"/>
      <color rgb="FF555555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D9E6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4" fillId="3" borderId="0" xfId="0" applyFont="1" applyFill="1"/>
    <xf numFmtId="0" fontId="4" fillId="3" borderId="0" xfId="0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/>
    <xf numFmtId="0" fontId="0" fillId="0" borderId="0" xfId="0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8"/>
  <sheetViews>
    <sheetView showGridLines="0" topLeftCell="A24" workbookViewId="0"/>
  </sheetViews>
  <sheetFormatPr defaultRowHeight="14.5" x14ac:dyDescent="0.35"/>
  <cols>
    <col min="1" max="1" width="100" customWidth="1"/>
  </cols>
  <sheetData>
    <row r="1" spans="1:1" ht="16.5" x14ac:dyDescent="0.3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/>
    </row>
    <row r="7" spans="1:1" x14ac:dyDescent="0.35">
      <c r="A7" s="3" t="s">
        <v>4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/>
    </row>
    <row r="13" spans="1:1" x14ac:dyDescent="0.35">
      <c r="A13" s="4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1" x14ac:dyDescent="0.35">
      <c r="A17" s="2" t="s">
        <v>13</v>
      </c>
    </row>
    <row r="18" spans="1:1" x14ac:dyDescent="0.35">
      <c r="A18" s="2"/>
    </row>
    <row r="19" spans="1:1" x14ac:dyDescent="0.35">
      <c r="A19" s="4" t="s">
        <v>14</v>
      </c>
    </row>
    <row r="20" spans="1:1" x14ac:dyDescent="0.35">
      <c r="A20" s="2" t="s">
        <v>15</v>
      </c>
    </row>
    <row r="21" spans="1:1" x14ac:dyDescent="0.35">
      <c r="A21" s="2" t="s">
        <v>16</v>
      </c>
    </row>
    <row r="22" spans="1:1" x14ac:dyDescent="0.35">
      <c r="A22" s="2"/>
    </row>
    <row r="23" spans="1:1" x14ac:dyDescent="0.35">
      <c r="A23" s="3" t="s">
        <v>17</v>
      </c>
    </row>
    <row r="24" spans="1:1" x14ac:dyDescent="0.35">
      <c r="A24" s="2" t="s">
        <v>18</v>
      </c>
    </row>
    <row r="25" spans="1:1" x14ac:dyDescent="0.35">
      <c r="A25" s="2"/>
    </row>
    <row r="26" spans="1:1" x14ac:dyDescent="0.35">
      <c r="A26" s="3" t="s">
        <v>19</v>
      </c>
    </row>
    <row r="27" spans="1:1" x14ac:dyDescent="0.35">
      <c r="A27" s="2" t="s">
        <v>20</v>
      </c>
    </row>
    <row r="28" spans="1:1" x14ac:dyDescent="0.35">
      <c r="A28" s="2" t="s">
        <v>21</v>
      </c>
    </row>
    <row r="29" spans="1:1" x14ac:dyDescent="0.35">
      <c r="A29" s="2" t="s">
        <v>22</v>
      </c>
    </row>
    <row r="30" spans="1:1" x14ac:dyDescent="0.35">
      <c r="A30" s="2" t="s">
        <v>23</v>
      </c>
    </row>
    <row r="31" spans="1:1" x14ac:dyDescent="0.35">
      <c r="A31" s="2" t="s">
        <v>24</v>
      </c>
    </row>
    <row r="32" spans="1:1" x14ac:dyDescent="0.35">
      <c r="A32" s="2" t="s">
        <v>25</v>
      </c>
    </row>
    <row r="33" spans="1:1" x14ac:dyDescent="0.35">
      <c r="A33" s="2" t="s">
        <v>26</v>
      </c>
    </row>
    <row r="34" spans="1:1" x14ac:dyDescent="0.35">
      <c r="A34" s="2" t="s">
        <v>27</v>
      </c>
    </row>
    <row r="35" spans="1:1" x14ac:dyDescent="0.35">
      <c r="A35" s="2" t="s">
        <v>28</v>
      </c>
    </row>
    <row r="36" spans="1:1" x14ac:dyDescent="0.35">
      <c r="A36" s="2" t="s">
        <v>29</v>
      </c>
    </row>
    <row r="37" spans="1:1" x14ac:dyDescent="0.35">
      <c r="A37" s="2" t="s">
        <v>30</v>
      </c>
    </row>
    <row r="38" spans="1:1" x14ac:dyDescent="0.35">
      <c r="A38" s="2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3"/>
  <sheetViews>
    <sheetView showGridLines="0" workbookViewId="0">
      <pane xSplit="1" ySplit="5" topLeftCell="C52" activePane="bottomRight" state="frozen"/>
      <selection pane="topRight"/>
      <selection pane="bottomLeft"/>
      <selection pane="bottomRight" activeCell="H62" sqref="H62:L62"/>
    </sheetView>
  </sheetViews>
  <sheetFormatPr defaultRowHeight="14.5" x14ac:dyDescent="0.35"/>
  <cols>
    <col min="1" max="1" width="30" customWidth="1"/>
    <col min="2" max="23" width="9" customWidth="1"/>
  </cols>
  <sheetData>
    <row r="1" spans="1:23" ht="16.5" x14ac:dyDescent="0.35">
      <c r="A1" s="19" t="s">
        <v>32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x14ac:dyDescent="0.35">
      <c r="A2" s="18" t="s">
        <v>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x14ac:dyDescent="0.35">
      <c r="A3" s="16" t="s">
        <v>34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5" spans="1:23" x14ac:dyDescent="0.35">
      <c r="A5" s="6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  <c r="O5" s="7" t="s">
        <v>49</v>
      </c>
      <c r="P5" s="7" t="s">
        <v>50</v>
      </c>
      <c r="Q5" s="7" t="s">
        <v>51</v>
      </c>
      <c r="R5" s="7" t="s">
        <v>52</v>
      </c>
      <c r="S5" s="7" t="s">
        <v>53</v>
      </c>
      <c r="T5" s="7" t="s">
        <v>54</v>
      </c>
      <c r="U5" s="7" t="s">
        <v>55</v>
      </c>
      <c r="V5" s="7" t="s">
        <v>56</v>
      </c>
      <c r="W5" s="7" t="s">
        <v>57</v>
      </c>
    </row>
    <row r="6" spans="1:23" x14ac:dyDescent="0.35">
      <c r="A6" s="8" t="s">
        <v>58</v>
      </c>
      <c r="B6" s="9"/>
      <c r="C6" s="9"/>
      <c r="D6" s="9"/>
      <c r="E6" s="9"/>
      <c r="F6" s="9"/>
      <c r="G6" s="10">
        <v>0.5</v>
      </c>
      <c r="H6" s="10">
        <v>0.4</v>
      </c>
      <c r="I6" s="10">
        <v>0.2</v>
      </c>
      <c r="J6" s="10">
        <v>1.1000000000000001</v>
      </c>
      <c r="K6" s="10">
        <v>0.8</v>
      </c>
      <c r="L6" s="10">
        <v>0.7</v>
      </c>
      <c r="M6" s="10">
        <v>3.1</v>
      </c>
      <c r="N6" s="10">
        <v>3.8</v>
      </c>
      <c r="O6" s="10">
        <v>0.3</v>
      </c>
      <c r="P6" s="9"/>
      <c r="Q6" s="10">
        <v>0.6</v>
      </c>
      <c r="R6" s="9"/>
      <c r="S6" s="9"/>
      <c r="T6" s="9"/>
      <c r="U6" s="9"/>
      <c r="V6" s="10">
        <v>0.1</v>
      </c>
      <c r="W6" s="10">
        <v>0.3</v>
      </c>
    </row>
    <row r="7" spans="1:23" x14ac:dyDescent="0.35">
      <c r="A7" s="8" t="s">
        <v>59</v>
      </c>
      <c r="B7" s="10">
        <v>0.7</v>
      </c>
      <c r="C7" s="9"/>
      <c r="D7" s="10">
        <v>0.6</v>
      </c>
      <c r="E7" s="10">
        <v>1.1000000000000001</v>
      </c>
      <c r="F7" s="10">
        <v>2.5</v>
      </c>
      <c r="G7" s="10">
        <v>5</v>
      </c>
      <c r="H7" s="10">
        <v>4.3</v>
      </c>
      <c r="I7" s="10">
        <v>3.3</v>
      </c>
      <c r="J7" s="10">
        <v>5.0999999999999996</v>
      </c>
      <c r="K7" s="10">
        <v>4.2</v>
      </c>
      <c r="L7" s="10">
        <v>2.4</v>
      </c>
      <c r="M7" s="10">
        <v>1.1000000000000001</v>
      </c>
      <c r="N7" s="10">
        <v>0.5</v>
      </c>
      <c r="O7" s="10">
        <v>1</v>
      </c>
      <c r="P7" s="10">
        <v>0.8</v>
      </c>
      <c r="Q7" s="10">
        <v>0.1</v>
      </c>
      <c r="R7" s="10">
        <v>0.8</v>
      </c>
      <c r="S7" s="9"/>
      <c r="T7" s="10">
        <v>2.4</v>
      </c>
      <c r="U7" s="9"/>
      <c r="V7" s="10">
        <v>0.1</v>
      </c>
      <c r="W7" s="10">
        <v>0.3</v>
      </c>
    </row>
    <row r="8" spans="1:23" x14ac:dyDescent="0.35">
      <c r="A8" s="2" t="s">
        <v>60</v>
      </c>
      <c r="B8" s="11"/>
      <c r="C8" s="11"/>
      <c r="D8" s="11"/>
      <c r="E8" s="11"/>
      <c r="F8" s="11"/>
      <c r="G8" s="12">
        <v>2.8</v>
      </c>
      <c r="H8" s="12">
        <v>0.3</v>
      </c>
      <c r="I8" s="12">
        <v>1.7</v>
      </c>
      <c r="J8" s="12">
        <v>4.0999999999999996</v>
      </c>
      <c r="K8" s="12">
        <v>3.8</v>
      </c>
      <c r="L8" s="12">
        <v>0.9</v>
      </c>
      <c r="M8" s="12">
        <v>0.4</v>
      </c>
      <c r="N8" s="12">
        <v>0.3</v>
      </c>
      <c r="O8" s="12">
        <v>0.6</v>
      </c>
      <c r="P8" s="12">
        <v>0.6</v>
      </c>
      <c r="Q8" s="11" t="s">
        <v>61</v>
      </c>
      <c r="R8" s="12">
        <v>0.8</v>
      </c>
      <c r="S8" s="11"/>
      <c r="T8" s="12">
        <v>2.4</v>
      </c>
      <c r="U8" s="11"/>
      <c r="V8" s="11"/>
      <c r="W8" s="12">
        <v>0.3</v>
      </c>
    </row>
    <row r="9" spans="1:23" x14ac:dyDescent="0.35">
      <c r="A9" s="2" t="s">
        <v>62</v>
      </c>
      <c r="B9" s="12">
        <v>0.7</v>
      </c>
      <c r="C9" s="11"/>
      <c r="D9" s="12">
        <v>0.6</v>
      </c>
      <c r="E9" s="12">
        <v>1.1000000000000001</v>
      </c>
      <c r="F9" s="12">
        <v>2.5</v>
      </c>
      <c r="G9" s="12">
        <v>2.2000000000000002</v>
      </c>
      <c r="H9" s="12">
        <v>4</v>
      </c>
      <c r="I9" s="12">
        <v>1.6</v>
      </c>
      <c r="J9" s="12">
        <v>1</v>
      </c>
      <c r="K9" s="12">
        <v>0.4</v>
      </c>
      <c r="L9" s="12">
        <v>1.5</v>
      </c>
      <c r="M9" s="12">
        <v>0.7</v>
      </c>
      <c r="N9" s="12">
        <v>0.2</v>
      </c>
      <c r="O9" s="12">
        <v>0.4</v>
      </c>
      <c r="P9" s="12">
        <v>0.2</v>
      </c>
      <c r="Q9" s="12">
        <v>0.1</v>
      </c>
      <c r="R9" s="11" t="s">
        <v>61</v>
      </c>
      <c r="S9" s="11"/>
      <c r="T9" s="11" t="s">
        <v>61</v>
      </c>
      <c r="U9" s="11"/>
      <c r="V9" s="12">
        <v>0.1</v>
      </c>
      <c r="W9" s="11"/>
    </row>
    <row r="10" spans="1:23" x14ac:dyDescent="0.35">
      <c r="A10" s="8" t="s">
        <v>63</v>
      </c>
      <c r="B10" s="10">
        <v>88.3</v>
      </c>
      <c r="C10" s="10">
        <v>78.5</v>
      </c>
      <c r="D10" s="10">
        <v>81</v>
      </c>
      <c r="E10" s="10">
        <v>28.4</v>
      </c>
      <c r="F10" s="10">
        <v>83</v>
      </c>
      <c r="G10" s="10">
        <v>49.7</v>
      </c>
      <c r="H10" s="10">
        <v>57.6</v>
      </c>
      <c r="I10" s="10">
        <v>37.9</v>
      </c>
      <c r="J10" s="10">
        <v>42.1</v>
      </c>
      <c r="K10" s="10">
        <v>35</v>
      </c>
      <c r="L10" s="10">
        <v>38.5</v>
      </c>
      <c r="M10" s="10">
        <v>32.5</v>
      </c>
      <c r="N10" s="10">
        <v>26.8</v>
      </c>
      <c r="O10" s="10">
        <v>16.899999999999999</v>
      </c>
      <c r="P10" s="10">
        <v>20</v>
      </c>
      <c r="Q10" s="10">
        <v>13.9</v>
      </c>
      <c r="R10" s="10">
        <v>6</v>
      </c>
      <c r="S10" s="10">
        <v>16.5</v>
      </c>
      <c r="T10" s="10">
        <v>18.2</v>
      </c>
      <c r="U10" s="10">
        <v>11.3</v>
      </c>
      <c r="V10" s="10">
        <v>14.3</v>
      </c>
      <c r="W10" s="10">
        <v>5.3</v>
      </c>
    </row>
    <row r="11" spans="1:23" x14ac:dyDescent="0.35">
      <c r="A11" s="2" t="s">
        <v>64</v>
      </c>
      <c r="B11" s="12">
        <v>51.3</v>
      </c>
      <c r="C11" s="12">
        <v>10.3</v>
      </c>
      <c r="D11" s="12">
        <v>42.9</v>
      </c>
      <c r="E11" s="12">
        <v>16.5</v>
      </c>
      <c r="F11" s="12">
        <v>51.9</v>
      </c>
      <c r="G11" s="12">
        <v>39</v>
      </c>
      <c r="H11" s="12">
        <v>44</v>
      </c>
      <c r="I11" s="12">
        <v>31.5</v>
      </c>
      <c r="J11" s="12">
        <v>38.4</v>
      </c>
      <c r="K11" s="12">
        <v>32.299999999999997</v>
      </c>
      <c r="L11" s="12">
        <v>34.4</v>
      </c>
      <c r="M11" s="12">
        <v>29.8</v>
      </c>
      <c r="N11" s="12">
        <v>26</v>
      </c>
      <c r="O11" s="12">
        <v>15.8</v>
      </c>
      <c r="P11" s="12">
        <v>19.600000000000001</v>
      </c>
      <c r="Q11" s="12">
        <v>13.8</v>
      </c>
      <c r="R11" s="12">
        <v>6</v>
      </c>
      <c r="S11" s="12">
        <v>15.5</v>
      </c>
      <c r="T11" s="12">
        <v>18</v>
      </c>
      <c r="U11" s="12">
        <v>11</v>
      </c>
      <c r="V11" s="12">
        <v>14.3</v>
      </c>
      <c r="W11" s="12">
        <v>4.9000000000000004</v>
      </c>
    </row>
    <row r="12" spans="1:23" x14ac:dyDescent="0.35">
      <c r="A12" s="5" t="s">
        <v>65</v>
      </c>
      <c r="B12" s="13"/>
      <c r="C12" s="13"/>
      <c r="D12" s="13"/>
      <c r="E12" s="13"/>
      <c r="F12" s="13"/>
      <c r="G12" s="13"/>
      <c r="H12" s="14">
        <v>3</v>
      </c>
      <c r="I12" s="14">
        <v>0.2</v>
      </c>
      <c r="J12" s="14">
        <v>6.3</v>
      </c>
      <c r="K12" s="14">
        <v>1.8</v>
      </c>
      <c r="L12" s="14">
        <v>0.8</v>
      </c>
      <c r="M12" s="14">
        <v>3.1</v>
      </c>
      <c r="N12" s="14">
        <v>0.2</v>
      </c>
      <c r="O12" s="14">
        <v>0.1</v>
      </c>
      <c r="P12" s="13"/>
      <c r="Q12" s="14">
        <v>0.1</v>
      </c>
      <c r="R12" s="13"/>
      <c r="S12" s="14">
        <v>11.1</v>
      </c>
      <c r="T12" s="13"/>
      <c r="U12" s="14">
        <v>2</v>
      </c>
      <c r="V12" s="13"/>
      <c r="W12" s="13"/>
    </row>
    <row r="13" spans="1:23" x14ac:dyDescent="0.35">
      <c r="A13" s="5" t="s">
        <v>66</v>
      </c>
      <c r="B13" s="13"/>
      <c r="C13" s="13"/>
      <c r="D13" s="13"/>
      <c r="E13" s="13"/>
      <c r="F13" s="13"/>
      <c r="G13" s="13"/>
      <c r="H13" s="13"/>
      <c r="I13" s="13"/>
      <c r="J13" s="14">
        <v>0.3</v>
      </c>
      <c r="K13" s="14">
        <v>2.1</v>
      </c>
      <c r="L13" s="14">
        <v>0.6</v>
      </c>
      <c r="M13" s="14">
        <v>1.3</v>
      </c>
      <c r="N13" s="14">
        <v>0.9</v>
      </c>
      <c r="O13" s="14">
        <v>0.7</v>
      </c>
      <c r="P13" s="14">
        <v>1</v>
      </c>
      <c r="Q13" s="14">
        <v>0.8</v>
      </c>
      <c r="R13" s="13"/>
      <c r="S13" s="14">
        <v>3.7</v>
      </c>
      <c r="T13" s="14">
        <v>5.5</v>
      </c>
      <c r="U13" s="13"/>
      <c r="V13" s="14">
        <v>4.0999999999999996</v>
      </c>
      <c r="W13" s="14">
        <v>4.7</v>
      </c>
    </row>
    <row r="14" spans="1:23" x14ac:dyDescent="0.35">
      <c r="A14" s="5" t="s">
        <v>67</v>
      </c>
      <c r="B14" s="13"/>
      <c r="C14" s="13"/>
      <c r="D14" s="13"/>
      <c r="E14" s="13"/>
      <c r="F14" s="13" t="s">
        <v>61</v>
      </c>
      <c r="G14" s="14">
        <v>0.1</v>
      </c>
      <c r="H14" s="14">
        <v>1</v>
      </c>
      <c r="I14" s="14">
        <v>0.2</v>
      </c>
      <c r="J14" s="14">
        <v>0.9</v>
      </c>
      <c r="K14" s="14">
        <v>5</v>
      </c>
      <c r="L14" s="14">
        <v>10.5</v>
      </c>
      <c r="M14" s="14">
        <v>10.199999999999999</v>
      </c>
      <c r="N14" s="14">
        <v>11.2</v>
      </c>
      <c r="O14" s="14">
        <v>8.9</v>
      </c>
      <c r="P14" s="14">
        <v>10</v>
      </c>
      <c r="Q14" s="14">
        <v>7.6</v>
      </c>
      <c r="R14" s="14">
        <v>1.5</v>
      </c>
      <c r="S14" s="13"/>
      <c r="T14" s="14">
        <v>7</v>
      </c>
      <c r="U14" s="13"/>
      <c r="V14" s="14">
        <v>8.9</v>
      </c>
      <c r="W14" s="13"/>
    </row>
    <row r="15" spans="1:23" x14ac:dyDescent="0.35">
      <c r="A15" s="5" t="s">
        <v>68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4">
        <v>1.5</v>
      </c>
      <c r="S15" s="13"/>
      <c r="T15" s="14">
        <v>4.5</v>
      </c>
      <c r="U15" s="14">
        <v>7.2</v>
      </c>
      <c r="V15" s="13"/>
      <c r="W15" s="13"/>
    </row>
    <row r="16" spans="1:23" x14ac:dyDescent="0.35">
      <c r="A16" s="5" t="s">
        <v>69</v>
      </c>
      <c r="B16" s="13"/>
      <c r="C16" s="13"/>
      <c r="D16" s="13"/>
      <c r="E16" s="13"/>
      <c r="F16" s="14">
        <v>3.2</v>
      </c>
      <c r="G16" s="14">
        <v>2.2000000000000002</v>
      </c>
      <c r="H16" s="14">
        <v>5.4</v>
      </c>
      <c r="I16" s="14">
        <v>2.7</v>
      </c>
      <c r="J16" s="14">
        <v>3</v>
      </c>
      <c r="K16" s="14">
        <v>3.3</v>
      </c>
      <c r="L16" s="14">
        <v>6.1</v>
      </c>
      <c r="M16" s="14">
        <v>1.6</v>
      </c>
      <c r="N16" s="14">
        <v>0.4</v>
      </c>
      <c r="O16" s="14">
        <v>1</v>
      </c>
      <c r="P16" s="14">
        <v>3.8</v>
      </c>
      <c r="Q16" s="14">
        <v>0.9</v>
      </c>
      <c r="R16" s="14">
        <v>0.3</v>
      </c>
      <c r="S16" s="13"/>
      <c r="T16" s="14">
        <v>0.2</v>
      </c>
      <c r="U16" s="13"/>
      <c r="V16" s="14">
        <v>0.4</v>
      </c>
      <c r="W16" s="13"/>
    </row>
    <row r="17" spans="1:23" x14ac:dyDescent="0.35">
      <c r="A17" s="5" t="s">
        <v>70</v>
      </c>
      <c r="B17" s="13"/>
      <c r="C17" s="13"/>
      <c r="D17" s="13"/>
      <c r="E17" s="13"/>
      <c r="F17" s="14">
        <v>1</v>
      </c>
      <c r="G17" s="14">
        <v>0.1</v>
      </c>
      <c r="H17" s="14">
        <v>0.6</v>
      </c>
      <c r="I17" s="14">
        <v>0.4</v>
      </c>
      <c r="J17" s="14">
        <v>8.5</v>
      </c>
      <c r="K17" s="14">
        <v>4.7</v>
      </c>
      <c r="L17" s="14">
        <v>3.4</v>
      </c>
      <c r="M17" s="14">
        <v>5.0999999999999996</v>
      </c>
      <c r="N17" s="14">
        <v>4.5999999999999996</v>
      </c>
      <c r="O17" s="14">
        <v>1.2</v>
      </c>
      <c r="P17" s="14">
        <v>2.1</v>
      </c>
      <c r="Q17" s="14">
        <v>0.6</v>
      </c>
      <c r="R17" s="14">
        <v>0.4</v>
      </c>
      <c r="S17" s="13"/>
      <c r="T17" s="13"/>
      <c r="U17" s="13"/>
      <c r="V17" s="14">
        <v>0.7</v>
      </c>
      <c r="W17" s="13"/>
    </row>
    <row r="18" spans="1:23" x14ac:dyDescent="0.35">
      <c r="A18" s="5" t="s">
        <v>71</v>
      </c>
      <c r="B18" s="14">
        <v>40.1</v>
      </c>
      <c r="C18" s="14">
        <v>3.7</v>
      </c>
      <c r="D18" s="14">
        <v>8.9</v>
      </c>
      <c r="E18" s="14">
        <v>5</v>
      </c>
      <c r="F18" s="14">
        <v>24.9</v>
      </c>
      <c r="G18" s="14">
        <v>13.4</v>
      </c>
      <c r="H18" s="14">
        <v>12.6</v>
      </c>
      <c r="I18" s="14">
        <v>10.199999999999999</v>
      </c>
      <c r="J18" s="14">
        <v>9</v>
      </c>
      <c r="K18" s="14">
        <v>3.1</v>
      </c>
      <c r="L18" s="14">
        <v>2.9</v>
      </c>
      <c r="M18" s="14">
        <v>3.8</v>
      </c>
      <c r="N18" s="14">
        <v>1.9</v>
      </c>
      <c r="O18" s="14">
        <v>0.3</v>
      </c>
      <c r="P18" s="14">
        <v>0.3</v>
      </c>
      <c r="Q18" s="14">
        <v>1.5</v>
      </c>
      <c r="R18" s="14">
        <v>1.1000000000000001</v>
      </c>
      <c r="S18" s="14">
        <v>0.4</v>
      </c>
      <c r="T18" s="14">
        <v>0.2</v>
      </c>
      <c r="U18" s="14">
        <v>0.1</v>
      </c>
      <c r="V18" s="13"/>
      <c r="W18" s="13"/>
    </row>
    <row r="19" spans="1:23" x14ac:dyDescent="0.35">
      <c r="A19" s="5" t="s">
        <v>72</v>
      </c>
      <c r="B19" s="13"/>
      <c r="C19" s="13"/>
      <c r="D19" s="13"/>
      <c r="E19" s="14">
        <v>3.4</v>
      </c>
      <c r="F19" s="14">
        <v>7.3</v>
      </c>
      <c r="G19" s="14">
        <v>4.2</v>
      </c>
      <c r="H19" s="14">
        <v>3</v>
      </c>
      <c r="I19" s="14">
        <v>6.8</v>
      </c>
      <c r="J19" s="14">
        <v>1.7</v>
      </c>
      <c r="K19" s="14">
        <v>8.5</v>
      </c>
      <c r="L19" s="14">
        <v>3.2</v>
      </c>
      <c r="M19" s="14">
        <v>0.9</v>
      </c>
      <c r="N19" s="14">
        <v>0.3</v>
      </c>
      <c r="O19" s="14">
        <v>0.1</v>
      </c>
      <c r="P19" s="14">
        <v>0.2</v>
      </c>
      <c r="Q19" s="14">
        <v>0.2</v>
      </c>
      <c r="R19" s="14">
        <v>0.5</v>
      </c>
      <c r="S19" s="14">
        <v>0.3</v>
      </c>
      <c r="T19" s="13"/>
      <c r="U19" s="13"/>
      <c r="V19" s="13"/>
      <c r="W19" s="13"/>
    </row>
    <row r="20" spans="1:23" x14ac:dyDescent="0.35">
      <c r="A20" s="5" t="s">
        <v>73</v>
      </c>
      <c r="B20" s="13"/>
      <c r="C20" s="13"/>
      <c r="D20" s="14">
        <v>4.4000000000000004</v>
      </c>
      <c r="E20" s="14">
        <v>1.1000000000000001</v>
      </c>
      <c r="F20" s="14">
        <v>5.4</v>
      </c>
      <c r="G20" s="14">
        <v>1.4</v>
      </c>
      <c r="H20" s="14">
        <v>2.1</v>
      </c>
      <c r="I20" s="14">
        <v>0.3</v>
      </c>
      <c r="J20" s="14">
        <v>3.3</v>
      </c>
      <c r="K20" s="14">
        <v>0.3</v>
      </c>
      <c r="L20" s="14">
        <v>1.2</v>
      </c>
      <c r="M20" s="14">
        <v>1.3</v>
      </c>
      <c r="N20" s="14">
        <v>0.8</v>
      </c>
      <c r="O20" s="14">
        <v>0.4</v>
      </c>
      <c r="P20" s="13" t="s">
        <v>61</v>
      </c>
      <c r="Q20" s="14">
        <v>0.8</v>
      </c>
      <c r="R20" s="13"/>
      <c r="S20" s="13" t="s">
        <v>61</v>
      </c>
      <c r="T20" s="14">
        <v>0.2</v>
      </c>
      <c r="U20" s="14">
        <v>1.1000000000000001</v>
      </c>
      <c r="V20" s="14">
        <v>0.2</v>
      </c>
      <c r="W20" s="14">
        <v>0.2</v>
      </c>
    </row>
    <row r="21" spans="1:23" x14ac:dyDescent="0.35">
      <c r="A21" s="5" t="s">
        <v>74</v>
      </c>
      <c r="B21" s="14">
        <v>11.2</v>
      </c>
      <c r="C21" s="14">
        <v>6.6</v>
      </c>
      <c r="D21" s="14">
        <v>29.6</v>
      </c>
      <c r="E21" s="14">
        <v>7</v>
      </c>
      <c r="F21" s="14">
        <v>10.1</v>
      </c>
      <c r="G21" s="14">
        <v>17.600000000000001</v>
      </c>
      <c r="H21" s="14">
        <v>16.3</v>
      </c>
      <c r="I21" s="14">
        <v>10.7</v>
      </c>
      <c r="J21" s="14">
        <v>5.4</v>
      </c>
      <c r="K21" s="14">
        <v>3.5</v>
      </c>
      <c r="L21" s="14">
        <v>5.7</v>
      </c>
      <c r="M21" s="14">
        <v>2.5</v>
      </c>
      <c r="N21" s="14">
        <v>5.7</v>
      </c>
      <c r="O21" s="14">
        <v>3.1</v>
      </c>
      <c r="P21" s="14">
        <v>2.2000000000000002</v>
      </c>
      <c r="Q21" s="14">
        <v>1.3</v>
      </c>
      <c r="R21" s="14">
        <v>0.7</v>
      </c>
      <c r="S21" s="13"/>
      <c r="T21" s="14">
        <v>0.4</v>
      </c>
      <c r="U21" s="14">
        <v>0.6</v>
      </c>
      <c r="V21" s="13"/>
      <c r="W21" s="13" t="s">
        <v>61</v>
      </c>
    </row>
    <row r="22" spans="1:23" x14ac:dyDescent="0.35">
      <c r="A22" s="2" t="s">
        <v>75</v>
      </c>
      <c r="B22" s="12">
        <v>37</v>
      </c>
      <c r="C22" s="12">
        <v>68.2</v>
      </c>
      <c r="D22" s="12">
        <v>38.1</v>
      </c>
      <c r="E22" s="12">
        <v>11.9</v>
      </c>
      <c r="F22" s="12">
        <v>31.1</v>
      </c>
      <c r="G22" s="12">
        <v>10.7</v>
      </c>
      <c r="H22" s="12">
        <v>13.6</v>
      </c>
      <c r="I22" s="12">
        <v>6.4</v>
      </c>
      <c r="J22" s="12">
        <v>3.7</v>
      </c>
      <c r="K22" s="12">
        <v>2.7</v>
      </c>
      <c r="L22" s="12">
        <v>4.0999999999999996</v>
      </c>
      <c r="M22" s="12">
        <v>2.7</v>
      </c>
      <c r="N22" s="12">
        <v>0.8</v>
      </c>
      <c r="O22" s="12">
        <v>1.1000000000000001</v>
      </c>
      <c r="P22" s="12">
        <v>0.4</v>
      </c>
      <c r="Q22" s="12">
        <v>0.1</v>
      </c>
      <c r="R22" s="11" t="s">
        <v>61</v>
      </c>
      <c r="S22" s="12">
        <v>1</v>
      </c>
      <c r="T22" s="12">
        <v>0.2</v>
      </c>
      <c r="U22" s="12">
        <v>0.3</v>
      </c>
      <c r="V22" s="11" t="s">
        <v>61</v>
      </c>
      <c r="W22" s="12">
        <v>0.4</v>
      </c>
    </row>
    <row r="23" spans="1:23" x14ac:dyDescent="0.35">
      <c r="A23" s="8" t="s">
        <v>76</v>
      </c>
      <c r="B23" s="9"/>
      <c r="C23" s="9"/>
      <c r="D23" s="9"/>
      <c r="E23" s="9"/>
      <c r="F23" s="9"/>
      <c r="G23" s="10">
        <v>3.8</v>
      </c>
      <c r="H23" s="10">
        <v>8.3000000000000007</v>
      </c>
      <c r="I23" s="10">
        <v>7.1</v>
      </c>
      <c r="J23" s="10">
        <v>10.9</v>
      </c>
      <c r="K23" s="10">
        <v>14.7</v>
      </c>
      <c r="L23" s="10">
        <v>22.2</v>
      </c>
      <c r="M23" s="10">
        <v>15.5</v>
      </c>
      <c r="N23" s="10">
        <v>9.3000000000000007</v>
      </c>
      <c r="O23" s="10">
        <v>9.1</v>
      </c>
      <c r="P23" s="10">
        <v>15.4</v>
      </c>
      <c r="Q23" s="10">
        <v>8.4</v>
      </c>
      <c r="R23" s="10">
        <v>1.8</v>
      </c>
      <c r="S23" s="10">
        <v>8.6</v>
      </c>
      <c r="T23" s="10">
        <v>28.8</v>
      </c>
      <c r="U23" s="9"/>
      <c r="V23" s="10">
        <v>1.4</v>
      </c>
      <c r="W23" s="10">
        <v>15.4</v>
      </c>
    </row>
    <row r="24" spans="1:23" x14ac:dyDescent="0.35">
      <c r="A24" s="2" t="s">
        <v>77</v>
      </c>
      <c r="B24" s="11"/>
      <c r="C24" s="11"/>
      <c r="D24" s="11"/>
      <c r="E24" s="11"/>
      <c r="F24" s="11"/>
      <c r="G24" s="12">
        <v>1.8</v>
      </c>
      <c r="H24" s="12">
        <v>0.1</v>
      </c>
      <c r="I24" s="12">
        <v>3.7</v>
      </c>
      <c r="J24" s="12">
        <v>6.3</v>
      </c>
      <c r="K24" s="12">
        <v>10.5</v>
      </c>
      <c r="L24" s="12">
        <v>11.8</v>
      </c>
      <c r="M24" s="12">
        <v>12.2</v>
      </c>
      <c r="N24" s="12">
        <v>5.5</v>
      </c>
      <c r="O24" s="12">
        <v>3.2</v>
      </c>
      <c r="P24" s="12">
        <v>10.8</v>
      </c>
      <c r="Q24" s="12">
        <v>4.9000000000000004</v>
      </c>
      <c r="R24" s="12">
        <v>0.7</v>
      </c>
      <c r="S24" s="11"/>
      <c r="T24" s="12">
        <v>6.2</v>
      </c>
      <c r="U24" s="11"/>
      <c r="V24" s="11"/>
      <c r="W24" s="11"/>
    </row>
    <row r="25" spans="1:23" x14ac:dyDescent="0.35">
      <c r="A25" s="5" t="s">
        <v>78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4">
        <v>3</v>
      </c>
      <c r="R25" s="13"/>
      <c r="S25" s="13"/>
      <c r="T25" s="14">
        <v>4.0999999999999996</v>
      </c>
      <c r="U25" s="13"/>
      <c r="V25" s="13"/>
      <c r="W25" s="13"/>
    </row>
    <row r="26" spans="1:23" x14ac:dyDescent="0.35">
      <c r="A26" s="5" t="s">
        <v>79</v>
      </c>
      <c r="B26" s="13"/>
      <c r="C26" s="13"/>
      <c r="D26" s="13"/>
      <c r="E26" s="13"/>
      <c r="F26" s="13"/>
      <c r="G26" s="13"/>
      <c r="H26" s="13"/>
      <c r="I26" s="14">
        <v>3.7</v>
      </c>
      <c r="J26" s="14">
        <v>5.5</v>
      </c>
      <c r="K26" s="14">
        <v>9.5</v>
      </c>
      <c r="L26" s="14">
        <v>11.8</v>
      </c>
      <c r="M26" s="14">
        <v>8.1999999999999993</v>
      </c>
      <c r="N26" s="14">
        <v>3.6</v>
      </c>
      <c r="O26" s="14">
        <v>3</v>
      </c>
      <c r="P26" s="14">
        <v>10.8</v>
      </c>
      <c r="Q26" s="14">
        <v>1.9</v>
      </c>
      <c r="R26" s="13"/>
      <c r="S26" s="13"/>
      <c r="T26" s="13"/>
      <c r="U26" s="13"/>
      <c r="V26" s="13"/>
      <c r="W26" s="13"/>
    </row>
    <row r="27" spans="1:23" x14ac:dyDescent="0.35">
      <c r="A27" s="5" t="s">
        <v>80</v>
      </c>
      <c r="B27" s="13"/>
      <c r="C27" s="13"/>
      <c r="D27" s="13"/>
      <c r="E27" s="13"/>
      <c r="F27" s="13"/>
      <c r="G27" s="14">
        <v>1.8</v>
      </c>
      <c r="H27" s="14">
        <v>0.1</v>
      </c>
      <c r="I27" s="13"/>
      <c r="J27" s="14">
        <v>0.8</v>
      </c>
      <c r="K27" s="14">
        <v>1</v>
      </c>
      <c r="L27" s="13" t="s">
        <v>61</v>
      </c>
      <c r="M27" s="14">
        <v>4</v>
      </c>
      <c r="N27" s="14">
        <v>1.9</v>
      </c>
      <c r="O27" s="14">
        <v>0.2</v>
      </c>
      <c r="P27" s="13"/>
      <c r="Q27" s="13" t="s">
        <v>61</v>
      </c>
      <c r="R27" s="14">
        <v>0.7</v>
      </c>
      <c r="S27" s="13"/>
      <c r="T27" s="14">
        <v>2.1</v>
      </c>
      <c r="U27" s="13"/>
      <c r="V27" s="13"/>
      <c r="W27" s="13"/>
    </row>
    <row r="28" spans="1:23" x14ac:dyDescent="0.35">
      <c r="A28" s="2" t="s">
        <v>81</v>
      </c>
      <c r="B28" s="11"/>
      <c r="C28" s="11"/>
      <c r="D28" s="11"/>
      <c r="E28" s="11"/>
      <c r="F28" s="11"/>
      <c r="G28" s="11"/>
      <c r="H28" s="12">
        <v>0.1</v>
      </c>
      <c r="I28" s="12">
        <v>1.4</v>
      </c>
      <c r="J28" s="11"/>
      <c r="K28" s="12">
        <v>1.4</v>
      </c>
      <c r="L28" s="12">
        <v>1</v>
      </c>
      <c r="M28" s="11"/>
      <c r="N28" s="12">
        <v>0.5</v>
      </c>
      <c r="O28" s="12">
        <v>4.5</v>
      </c>
      <c r="P28" s="12">
        <v>1.4</v>
      </c>
      <c r="Q28" s="12">
        <v>2.2000000000000002</v>
      </c>
      <c r="R28" s="11" t="s">
        <v>61</v>
      </c>
      <c r="S28" s="12">
        <v>4.9000000000000004</v>
      </c>
      <c r="T28" s="12">
        <v>22.3</v>
      </c>
      <c r="U28" s="11"/>
      <c r="V28" s="11"/>
      <c r="W28" s="12">
        <v>15.3</v>
      </c>
    </row>
    <row r="29" spans="1:23" x14ac:dyDescent="0.35">
      <c r="A29" s="5" t="s">
        <v>82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>
        <v>0.3</v>
      </c>
      <c r="P29" s="13"/>
      <c r="Q29" s="13"/>
      <c r="R29" s="13"/>
      <c r="S29" s="13"/>
      <c r="T29" s="14">
        <v>22.3</v>
      </c>
      <c r="U29" s="13"/>
      <c r="V29" s="13"/>
      <c r="W29" s="14">
        <v>15.3</v>
      </c>
    </row>
    <row r="30" spans="1:23" x14ac:dyDescent="0.35">
      <c r="A30" s="5" t="s">
        <v>83</v>
      </c>
      <c r="B30" s="13"/>
      <c r="C30" s="13"/>
      <c r="D30" s="13"/>
      <c r="E30" s="13"/>
      <c r="F30" s="13"/>
      <c r="G30" s="13"/>
      <c r="H30" s="14">
        <v>0.1</v>
      </c>
      <c r="I30" s="14">
        <v>1.4</v>
      </c>
      <c r="J30" s="13"/>
      <c r="K30" s="14">
        <v>1.4</v>
      </c>
      <c r="L30" s="14">
        <v>1</v>
      </c>
      <c r="M30" s="13"/>
      <c r="N30" s="14">
        <v>0.5</v>
      </c>
      <c r="O30" s="14">
        <v>4.2</v>
      </c>
      <c r="P30" s="14">
        <v>1.4</v>
      </c>
      <c r="Q30" s="14">
        <v>2.2000000000000002</v>
      </c>
      <c r="R30" s="13" t="s">
        <v>61</v>
      </c>
      <c r="S30" s="14">
        <v>4.9000000000000004</v>
      </c>
      <c r="T30" s="13" t="s">
        <v>61</v>
      </c>
      <c r="U30" s="13"/>
      <c r="V30" s="13"/>
      <c r="W30" s="13"/>
    </row>
    <row r="31" spans="1:23" x14ac:dyDescent="0.35">
      <c r="A31" s="2" t="s">
        <v>84</v>
      </c>
      <c r="B31" s="11"/>
      <c r="C31" s="11"/>
      <c r="D31" s="11"/>
      <c r="E31" s="11"/>
      <c r="F31" s="11"/>
      <c r="G31" s="12">
        <v>2</v>
      </c>
      <c r="H31" s="12">
        <v>8.1</v>
      </c>
      <c r="I31" s="12">
        <v>2</v>
      </c>
      <c r="J31" s="12">
        <v>4.5999999999999996</v>
      </c>
      <c r="K31" s="12">
        <v>2.8</v>
      </c>
      <c r="L31" s="12">
        <v>9.4</v>
      </c>
      <c r="M31" s="12">
        <v>3.3</v>
      </c>
      <c r="N31" s="12">
        <v>3.3</v>
      </c>
      <c r="O31" s="12">
        <v>1.4</v>
      </c>
      <c r="P31" s="12">
        <v>3.2</v>
      </c>
      <c r="Q31" s="12">
        <v>1.3</v>
      </c>
      <c r="R31" s="12">
        <v>1.1000000000000001</v>
      </c>
      <c r="S31" s="12">
        <v>3.7</v>
      </c>
      <c r="T31" s="12">
        <v>0.3</v>
      </c>
      <c r="U31" s="11"/>
      <c r="V31" s="12">
        <v>1.4</v>
      </c>
      <c r="W31" s="12">
        <v>0.1</v>
      </c>
    </row>
    <row r="32" spans="1:23" x14ac:dyDescent="0.35">
      <c r="A32" s="8" t="s">
        <v>85</v>
      </c>
      <c r="B32" s="9"/>
      <c r="C32" s="9"/>
      <c r="D32" s="9"/>
      <c r="E32" s="9"/>
      <c r="F32" s="10">
        <v>1.3</v>
      </c>
      <c r="G32" s="10">
        <v>11.3</v>
      </c>
      <c r="H32" s="10">
        <v>2.4</v>
      </c>
      <c r="I32" s="10">
        <v>9.4</v>
      </c>
      <c r="J32" s="10">
        <v>1.7</v>
      </c>
      <c r="K32" s="10">
        <v>3.2</v>
      </c>
      <c r="L32" s="10">
        <v>6</v>
      </c>
      <c r="M32" s="10">
        <v>3.4</v>
      </c>
      <c r="N32" s="10">
        <v>1.4</v>
      </c>
      <c r="O32" s="10">
        <v>3.5</v>
      </c>
      <c r="P32" s="10">
        <v>2.4</v>
      </c>
      <c r="Q32" s="10">
        <v>2.1</v>
      </c>
      <c r="R32" s="10">
        <v>0.2</v>
      </c>
      <c r="S32" s="10">
        <v>1.3</v>
      </c>
      <c r="T32" s="10">
        <v>0.2</v>
      </c>
      <c r="U32" s="10">
        <v>0.6</v>
      </c>
      <c r="V32" s="10">
        <v>0.6</v>
      </c>
      <c r="W32" s="10">
        <v>0.3</v>
      </c>
    </row>
    <row r="33" spans="1:23" x14ac:dyDescent="0.35">
      <c r="A33" s="2" t="s">
        <v>86</v>
      </c>
      <c r="B33" s="11"/>
      <c r="C33" s="11"/>
      <c r="D33" s="11"/>
      <c r="E33" s="11"/>
      <c r="F33" s="12">
        <v>0.1</v>
      </c>
      <c r="G33" s="12">
        <v>4.9000000000000004</v>
      </c>
      <c r="H33" s="12">
        <v>2.4</v>
      </c>
      <c r="I33" s="12">
        <v>5.6</v>
      </c>
      <c r="J33" s="12">
        <v>1.4</v>
      </c>
      <c r="K33" s="12">
        <v>2.2999999999999998</v>
      </c>
      <c r="L33" s="12">
        <v>4.7</v>
      </c>
      <c r="M33" s="12">
        <v>2.2000000000000002</v>
      </c>
      <c r="N33" s="12">
        <v>0.7</v>
      </c>
      <c r="O33" s="12">
        <v>2.2999999999999998</v>
      </c>
      <c r="P33" s="12">
        <v>0.3</v>
      </c>
      <c r="Q33" s="12">
        <v>1.5</v>
      </c>
      <c r="R33" s="11"/>
      <c r="S33" s="11"/>
      <c r="T33" s="12">
        <v>0.2</v>
      </c>
      <c r="U33" s="11"/>
      <c r="V33" s="11"/>
      <c r="W33" s="11"/>
    </row>
    <row r="34" spans="1:23" x14ac:dyDescent="0.35">
      <c r="A34" s="2" t="s">
        <v>87</v>
      </c>
      <c r="B34" s="11"/>
      <c r="C34" s="11"/>
      <c r="D34" s="11"/>
      <c r="E34" s="11"/>
      <c r="F34" s="11"/>
      <c r="G34" s="12">
        <v>5.3</v>
      </c>
      <c r="H34" s="11"/>
      <c r="I34" s="12">
        <v>3.8</v>
      </c>
      <c r="J34" s="12">
        <v>0.3</v>
      </c>
      <c r="K34" s="12">
        <v>0.7</v>
      </c>
      <c r="L34" s="12">
        <v>0.5</v>
      </c>
      <c r="M34" s="12">
        <v>0.7</v>
      </c>
      <c r="N34" s="12">
        <v>0.5</v>
      </c>
      <c r="O34" s="12">
        <v>1.2</v>
      </c>
      <c r="P34" s="12">
        <v>2</v>
      </c>
      <c r="Q34" s="12">
        <v>0.2</v>
      </c>
      <c r="R34" s="12">
        <v>0.2</v>
      </c>
      <c r="S34" s="12">
        <v>1.3</v>
      </c>
      <c r="T34" s="11"/>
      <c r="U34" s="12">
        <v>0.6</v>
      </c>
      <c r="V34" s="12">
        <v>0.4</v>
      </c>
      <c r="W34" s="11"/>
    </row>
    <row r="35" spans="1:23" x14ac:dyDescent="0.35">
      <c r="A35" s="2" t="s">
        <v>88</v>
      </c>
      <c r="B35" s="11"/>
      <c r="C35" s="11"/>
      <c r="D35" s="11"/>
      <c r="E35" s="11"/>
      <c r="F35" s="12">
        <v>1.2</v>
      </c>
      <c r="G35" s="12">
        <v>1.1000000000000001</v>
      </c>
      <c r="H35" s="11" t="s">
        <v>61</v>
      </c>
      <c r="I35" s="11"/>
      <c r="J35" s="11" t="s">
        <v>61</v>
      </c>
      <c r="K35" s="12">
        <v>0.2</v>
      </c>
      <c r="L35" s="12">
        <v>0.8</v>
      </c>
      <c r="M35" s="12">
        <v>0.5</v>
      </c>
      <c r="N35" s="12">
        <v>0.2</v>
      </c>
      <c r="O35" s="11"/>
      <c r="P35" s="12">
        <v>0.1</v>
      </c>
      <c r="Q35" s="12">
        <v>0.4</v>
      </c>
      <c r="R35" s="11"/>
      <c r="S35" s="11"/>
      <c r="T35" s="11"/>
      <c r="U35" s="11"/>
      <c r="V35" s="12">
        <v>0.2</v>
      </c>
      <c r="W35" s="12">
        <v>0.3</v>
      </c>
    </row>
    <row r="36" spans="1:23" x14ac:dyDescent="0.35">
      <c r="A36" s="8" t="s">
        <v>89</v>
      </c>
      <c r="B36" s="10">
        <v>6.3</v>
      </c>
      <c r="C36" s="10">
        <v>5.6</v>
      </c>
      <c r="D36" s="10">
        <v>1.8</v>
      </c>
      <c r="E36" s="10">
        <v>65.8</v>
      </c>
      <c r="F36" s="10">
        <v>3.7</v>
      </c>
      <c r="G36" s="10">
        <v>15.8</v>
      </c>
      <c r="H36" s="10">
        <v>16.100000000000001</v>
      </c>
      <c r="I36" s="10">
        <v>31.3</v>
      </c>
      <c r="J36" s="10">
        <v>29</v>
      </c>
      <c r="K36" s="10">
        <v>39</v>
      </c>
      <c r="L36" s="10">
        <v>25</v>
      </c>
      <c r="M36" s="10">
        <v>40</v>
      </c>
      <c r="N36" s="10">
        <v>54.2</v>
      </c>
      <c r="O36" s="10">
        <v>64.400000000000006</v>
      </c>
      <c r="P36" s="10">
        <v>58.8</v>
      </c>
      <c r="Q36" s="10">
        <v>68</v>
      </c>
      <c r="R36" s="10">
        <v>88.9</v>
      </c>
      <c r="S36" s="10">
        <v>72.400000000000006</v>
      </c>
      <c r="T36" s="10">
        <v>49.2</v>
      </c>
      <c r="U36" s="10">
        <v>87.5</v>
      </c>
      <c r="V36" s="10">
        <v>81.5</v>
      </c>
      <c r="W36" s="10">
        <v>78.5</v>
      </c>
    </row>
    <row r="37" spans="1:23" x14ac:dyDescent="0.35">
      <c r="A37" s="2" t="s">
        <v>90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>
        <v>7.1</v>
      </c>
    </row>
    <row r="38" spans="1:23" x14ac:dyDescent="0.35">
      <c r="A38" s="2" t="s">
        <v>91</v>
      </c>
      <c r="B38" s="11"/>
      <c r="C38" s="11"/>
      <c r="D38" s="11"/>
      <c r="E38" s="11"/>
      <c r="F38" s="11"/>
      <c r="G38" s="11"/>
      <c r="H38" s="11"/>
      <c r="I38" s="11"/>
      <c r="J38" s="12">
        <v>2.7</v>
      </c>
      <c r="K38" s="12">
        <v>4.7</v>
      </c>
      <c r="L38" s="11"/>
      <c r="M38" s="12">
        <v>3.4</v>
      </c>
      <c r="N38" s="11"/>
      <c r="O38" s="12">
        <v>9.3000000000000007</v>
      </c>
      <c r="P38" s="11"/>
      <c r="Q38" s="11"/>
      <c r="R38" s="12">
        <v>4</v>
      </c>
      <c r="S38" s="11"/>
      <c r="T38" s="11"/>
      <c r="U38" s="12">
        <v>35.1</v>
      </c>
      <c r="V38" s="11"/>
      <c r="W38" s="11"/>
    </row>
    <row r="39" spans="1:23" x14ac:dyDescent="0.35">
      <c r="A39" s="2" t="s">
        <v>92</v>
      </c>
      <c r="B39" s="11"/>
      <c r="C39" s="11"/>
      <c r="D39" s="11"/>
      <c r="E39" s="11"/>
      <c r="F39" s="11"/>
      <c r="G39" s="11"/>
      <c r="H39" s="11"/>
      <c r="I39" s="11"/>
      <c r="J39" s="11"/>
      <c r="K39" s="12">
        <v>12.6</v>
      </c>
      <c r="L39" s="12">
        <v>4.9000000000000004</v>
      </c>
      <c r="M39" s="12">
        <v>1.1000000000000001</v>
      </c>
      <c r="N39" s="12">
        <v>2</v>
      </c>
      <c r="O39" s="12">
        <v>18.100000000000001</v>
      </c>
      <c r="P39" s="12">
        <v>22.8</v>
      </c>
      <c r="Q39" s="12">
        <v>4.5</v>
      </c>
      <c r="R39" s="12">
        <v>47.9</v>
      </c>
      <c r="S39" s="12">
        <v>8.5</v>
      </c>
      <c r="T39" s="12">
        <v>8</v>
      </c>
      <c r="U39" s="11"/>
      <c r="V39" s="12">
        <v>23.2</v>
      </c>
      <c r="W39" s="11"/>
    </row>
    <row r="40" spans="1:23" x14ac:dyDescent="0.35">
      <c r="A40" s="2" t="s">
        <v>93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>
        <v>16.3</v>
      </c>
      <c r="Q40" s="11"/>
      <c r="R40" s="11"/>
      <c r="S40" s="11"/>
      <c r="T40" s="11"/>
      <c r="U40" s="11"/>
      <c r="V40" s="11"/>
      <c r="W40" s="11"/>
    </row>
    <row r="41" spans="1:23" x14ac:dyDescent="0.35">
      <c r="A41" s="2" t="s">
        <v>94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2">
        <v>24.1</v>
      </c>
      <c r="W41" s="11"/>
    </row>
    <row r="42" spans="1:23" x14ac:dyDescent="0.35">
      <c r="A42" s="2" t="s">
        <v>95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2">
        <v>9.5</v>
      </c>
      <c r="N42" s="12">
        <v>0.6</v>
      </c>
      <c r="O42" s="11"/>
      <c r="P42" s="11"/>
      <c r="Q42" s="12">
        <v>14</v>
      </c>
      <c r="R42" s="12">
        <v>0.8</v>
      </c>
      <c r="S42" s="12">
        <v>9.6</v>
      </c>
      <c r="T42" s="11"/>
      <c r="U42" s="11"/>
      <c r="V42" s="11"/>
      <c r="W42" s="11"/>
    </row>
    <row r="43" spans="1:23" x14ac:dyDescent="0.35">
      <c r="A43" s="2" t="s">
        <v>96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2">
        <v>1</v>
      </c>
      <c r="N43" s="12">
        <v>10.4</v>
      </c>
      <c r="O43" s="11"/>
      <c r="P43" s="11"/>
      <c r="Q43" s="12">
        <v>2.8</v>
      </c>
      <c r="R43" s="12">
        <v>0.2</v>
      </c>
      <c r="S43" s="11"/>
      <c r="T43" s="12">
        <v>0.9</v>
      </c>
      <c r="U43" s="11"/>
      <c r="V43" s="11"/>
      <c r="W43" s="11"/>
    </row>
    <row r="44" spans="1:23" x14ac:dyDescent="0.35">
      <c r="A44" s="2" t="s">
        <v>97</v>
      </c>
      <c r="B44" s="11"/>
      <c r="C44" s="11"/>
      <c r="D44" s="11"/>
      <c r="E44" s="11"/>
      <c r="F44" s="11"/>
      <c r="G44" s="12">
        <v>6.7</v>
      </c>
      <c r="H44" s="11"/>
      <c r="I44" s="12">
        <v>14.5</v>
      </c>
      <c r="J44" s="12">
        <v>9.9</v>
      </c>
      <c r="K44" s="12">
        <v>13.3</v>
      </c>
      <c r="L44" s="12">
        <v>1.3</v>
      </c>
      <c r="M44" s="12">
        <v>4</v>
      </c>
      <c r="N44" s="12">
        <v>16.100000000000001</v>
      </c>
      <c r="O44" s="12">
        <v>0.6</v>
      </c>
      <c r="P44" s="12">
        <v>1.9</v>
      </c>
      <c r="Q44" s="11"/>
      <c r="R44" s="11"/>
      <c r="S44" s="11"/>
      <c r="T44" s="11"/>
      <c r="U44" s="11"/>
      <c r="V44" s="11"/>
      <c r="W44" s="11"/>
    </row>
    <row r="45" spans="1:23" x14ac:dyDescent="0.35">
      <c r="A45" s="2" t="s">
        <v>98</v>
      </c>
      <c r="B45" s="11"/>
      <c r="C45" s="11"/>
      <c r="D45" s="11"/>
      <c r="E45" s="11"/>
      <c r="F45" s="11"/>
      <c r="G45" s="11"/>
      <c r="H45" s="12">
        <v>0.2</v>
      </c>
      <c r="I45" s="12">
        <v>0.4</v>
      </c>
      <c r="J45" s="12">
        <v>0.2</v>
      </c>
      <c r="K45" s="12">
        <v>6.2</v>
      </c>
      <c r="L45" s="11" t="s">
        <v>61</v>
      </c>
      <c r="M45" s="12">
        <v>0.1</v>
      </c>
      <c r="N45" s="12">
        <v>0.2</v>
      </c>
      <c r="O45" s="12">
        <v>0.5</v>
      </c>
      <c r="P45" s="11"/>
      <c r="Q45" s="12">
        <v>8.4</v>
      </c>
      <c r="R45" s="12">
        <v>7.1</v>
      </c>
      <c r="S45" s="11"/>
      <c r="T45" s="11"/>
      <c r="U45" s="12">
        <v>3.3</v>
      </c>
      <c r="V45" s="12">
        <v>5.0999999999999996</v>
      </c>
      <c r="W45" s="11"/>
    </row>
    <row r="46" spans="1:23" x14ac:dyDescent="0.35">
      <c r="A46" s="2" t="s">
        <v>99</v>
      </c>
      <c r="B46" s="11"/>
      <c r="C46" s="11"/>
      <c r="D46" s="11"/>
      <c r="E46" s="11"/>
      <c r="F46" s="11"/>
      <c r="G46" s="11"/>
      <c r="H46" s="11"/>
      <c r="I46" s="11"/>
      <c r="J46" s="12">
        <v>1.6</v>
      </c>
      <c r="K46" s="11"/>
      <c r="L46" s="12">
        <v>1.8</v>
      </c>
      <c r="M46" s="12">
        <v>3.4</v>
      </c>
      <c r="N46" s="12">
        <v>5.7</v>
      </c>
      <c r="O46" s="12">
        <v>25.4</v>
      </c>
      <c r="P46" s="11"/>
      <c r="Q46" s="12">
        <v>4.8</v>
      </c>
      <c r="R46" s="12">
        <v>7.7</v>
      </c>
      <c r="S46" s="12">
        <v>48.9</v>
      </c>
      <c r="T46" s="12">
        <v>33.4</v>
      </c>
      <c r="U46" s="11"/>
      <c r="V46" s="11"/>
      <c r="W46" s="11"/>
    </row>
    <row r="47" spans="1:23" x14ac:dyDescent="0.35">
      <c r="A47" s="2" t="s">
        <v>100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2">
        <v>9.8000000000000007</v>
      </c>
    </row>
    <row r="48" spans="1:23" x14ac:dyDescent="0.35">
      <c r="A48" s="2" t="s">
        <v>101</v>
      </c>
      <c r="B48" s="11"/>
      <c r="C48" s="11"/>
      <c r="D48" s="11"/>
      <c r="E48" s="11"/>
      <c r="F48" s="11"/>
      <c r="G48" s="11"/>
      <c r="H48" s="11"/>
      <c r="I48" s="11"/>
      <c r="J48" s="12">
        <v>3.3</v>
      </c>
      <c r="K48" s="11"/>
      <c r="L48" s="11"/>
      <c r="M48" s="12">
        <v>5</v>
      </c>
      <c r="N48" s="12">
        <v>5.4</v>
      </c>
      <c r="O48" s="11"/>
      <c r="P48" s="12">
        <v>2.2000000000000002</v>
      </c>
      <c r="Q48" s="11"/>
      <c r="R48" s="11"/>
      <c r="S48" s="12">
        <v>1.7</v>
      </c>
      <c r="T48" s="11"/>
      <c r="U48" s="11"/>
      <c r="V48" s="11"/>
      <c r="W48" s="12">
        <v>19.100000000000001</v>
      </c>
    </row>
    <row r="49" spans="1:23" x14ac:dyDescent="0.35">
      <c r="A49" s="2" t="s">
        <v>102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2">
        <v>6.1</v>
      </c>
      <c r="W49" s="12">
        <v>22.4</v>
      </c>
    </row>
    <row r="50" spans="1:23" x14ac:dyDescent="0.35">
      <c r="A50" s="2" t="s">
        <v>103</v>
      </c>
      <c r="B50" s="11"/>
      <c r="C50" s="11"/>
      <c r="D50" s="11"/>
      <c r="E50" s="11"/>
      <c r="F50" s="11"/>
      <c r="G50" s="11"/>
      <c r="H50" s="12">
        <v>4.8</v>
      </c>
      <c r="I50" s="11"/>
      <c r="J50" s="12">
        <v>0.1</v>
      </c>
      <c r="K50" s="11"/>
      <c r="L50" s="12">
        <v>0.1</v>
      </c>
      <c r="M50" s="12">
        <v>0.2</v>
      </c>
      <c r="N50" s="12">
        <v>1.3</v>
      </c>
      <c r="O50" s="11"/>
      <c r="P50" s="11"/>
      <c r="Q50" s="11"/>
      <c r="R50" s="11"/>
      <c r="S50" s="11"/>
      <c r="T50" s="12">
        <v>3.5</v>
      </c>
      <c r="U50" s="12">
        <v>22.5</v>
      </c>
      <c r="V50" s="11"/>
      <c r="W50" s="12">
        <v>7</v>
      </c>
    </row>
    <row r="51" spans="1:23" x14ac:dyDescent="0.35">
      <c r="A51" s="2" t="s">
        <v>104</v>
      </c>
      <c r="B51" s="12">
        <v>6.3</v>
      </c>
      <c r="C51" s="12">
        <v>5.6</v>
      </c>
      <c r="D51" s="12">
        <v>1.8</v>
      </c>
      <c r="E51" s="12">
        <v>65.8</v>
      </c>
      <c r="F51" s="12">
        <v>3.7</v>
      </c>
      <c r="G51" s="12">
        <v>9.1</v>
      </c>
      <c r="H51" s="12">
        <v>11.1</v>
      </c>
      <c r="I51" s="12">
        <v>16.399999999999999</v>
      </c>
      <c r="J51" s="12">
        <v>11.2</v>
      </c>
      <c r="K51" s="12">
        <v>8.8000000000000007</v>
      </c>
      <c r="L51" s="12">
        <v>16.899999999999999</v>
      </c>
      <c r="M51" s="12">
        <v>12.3</v>
      </c>
      <c r="N51" s="12">
        <v>12.5</v>
      </c>
      <c r="O51" s="12">
        <v>10.5</v>
      </c>
      <c r="P51" s="12">
        <v>15.6</v>
      </c>
      <c r="Q51" s="12">
        <v>33.5</v>
      </c>
      <c r="R51" s="12">
        <v>21.2</v>
      </c>
      <c r="S51" s="12">
        <v>3.7</v>
      </c>
      <c r="T51" s="12">
        <v>3.4</v>
      </c>
      <c r="U51" s="12">
        <v>26.6</v>
      </c>
      <c r="V51" s="12">
        <v>23</v>
      </c>
      <c r="W51" s="12">
        <v>13.1</v>
      </c>
    </row>
    <row r="52" spans="1:23" x14ac:dyDescent="0.35">
      <c r="A52" s="8" t="s">
        <v>105</v>
      </c>
      <c r="B52" s="10">
        <v>3</v>
      </c>
      <c r="C52" s="10">
        <v>15.9</v>
      </c>
      <c r="D52" s="10">
        <v>11.2</v>
      </c>
      <c r="E52" s="10">
        <v>4.5999999999999996</v>
      </c>
      <c r="F52" s="10">
        <v>9.1</v>
      </c>
      <c r="G52" s="10">
        <v>13.2</v>
      </c>
      <c r="H52" s="10">
        <v>9.6999999999999993</v>
      </c>
      <c r="I52" s="10">
        <v>10.199999999999999</v>
      </c>
      <c r="J52" s="10">
        <v>4.5999999999999996</v>
      </c>
      <c r="K52" s="10">
        <v>2.8</v>
      </c>
      <c r="L52" s="10">
        <v>4.2</v>
      </c>
      <c r="M52" s="10">
        <v>3.7</v>
      </c>
      <c r="N52" s="10">
        <v>2.9</v>
      </c>
      <c r="O52" s="10">
        <v>4.0999999999999996</v>
      </c>
      <c r="P52" s="10">
        <v>2.4</v>
      </c>
      <c r="Q52" s="10">
        <v>2.8</v>
      </c>
      <c r="R52" s="10">
        <v>2.2000000000000002</v>
      </c>
      <c r="S52" s="10">
        <v>1.1000000000000001</v>
      </c>
      <c r="T52" s="10">
        <v>1</v>
      </c>
      <c r="U52" s="10">
        <v>0.4</v>
      </c>
      <c r="V52" s="10">
        <v>1.8</v>
      </c>
      <c r="W52" s="10">
        <v>0.2</v>
      </c>
    </row>
    <row r="53" spans="1:23" x14ac:dyDescent="0.35">
      <c r="A53" s="8" t="s">
        <v>106</v>
      </c>
      <c r="B53" s="10">
        <v>1.7</v>
      </c>
      <c r="C53" s="9"/>
      <c r="D53" s="10">
        <v>5.4</v>
      </c>
      <c r="E53" s="10">
        <v>0.1</v>
      </c>
      <c r="F53" s="10">
        <v>0.4</v>
      </c>
      <c r="G53" s="10">
        <v>0.2</v>
      </c>
      <c r="H53" s="10">
        <v>1.2</v>
      </c>
      <c r="I53" s="10">
        <v>0.6</v>
      </c>
      <c r="J53" s="10">
        <v>5.5</v>
      </c>
      <c r="K53" s="10">
        <v>0.3</v>
      </c>
      <c r="L53" s="10">
        <v>1</v>
      </c>
      <c r="M53" s="10">
        <v>0.7</v>
      </c>
      <c r="N53" s="10">
        <v>1.1000000000000001</v>
      </c>
      <c r="O53" s="10">
        <v>0.7</v>
      </c>
      <c r="P53" s="10">
        <v>0.2</v>
      </c>
      <c r="Q53" s="10">
        <v>4.0999999999999996</v>
      </c>
      <c r="R53" s="10">
        <v>0.1</v>
      </c>
      <c r="S53" s="10">
        <v>0.1</v>
      </c>
      <c r="T53" s="10">
        <v>0.2</v>
      </c>
      <c r="U53" s="10">
        <v>0.2</v>
      </c>
      <c r="V53" s="10">
        <v>0.3</v>
      </c>
      <c r="W53" s="9"/>
    </row>
    <row r="55" spans="1:23" x14ac:dyDescent="0.35">
      <c r="A55" s="4" t="s">
        <v>107</v>
      </c>
      <c r="B55" s="15">
        <v>35</v>
      </c>
      <c r="C55" s="15">
        <v>83</v>
      </c>
      <c r="D55" s="15">
        <v>51</v>
      </c>
      <c r="E55" s="15">
        <v>41</v>
      </c>
      <c r="F55" s="15">
        <v>81</v>
      </c>
      <c r="G55" s="15">
        <v>116</v>
      </c>
      <c r="H55" s="15">
        <v>120</v>
      </c>
      <c r="I55" s="15">
        <v>117</v>
      </c>
      <c r="J55" s="15">
        <v>139</v>
      </c>
      <c r="K55" s="15">
        <v>115</v>
      </c>
      <c r="L55" s="15">
        <v>126</v>
      </c>
      <c r="M55" s="15">
        <v>122</v>
      </c>
      <c r="N55" s="15">
        <v>119</v>
      </c>
      <c r="O55" s="15">
        <v>111</v>
      </c>
      <c r="P55" s="15">
        <v>84</v>
      </c>
      <c r="Q55" s="15">
        <v>71</v>
      </c>
      <c r="R55" s="15">
        <v>44</v>
      </c>
      <c r="S55" s="15">
        <v>32</v>
      </c>
      <c r="T55" s="15">
        <v>30</v>
      </c>
      <c r="U55" s="15">
        <v>19</v>
      </c>
      <c r="V55" s="15">
        <v>16</v>
      </c>
      <c r="W55" s="15">
        <v>14</v>
      </c>
    </row>
    <row r="56" spans="1:23" x14ac:dyDescent="0.35">
      <c r="A56" s="4" t="s">
        <v>108</v>
      </c>
      <c r="B56" s="15">
        <v>8</v>
      </c>
      <c r="C56" s="15">
        <v>14</v>
      </c>
      <c r="D56" s="15">
        <v>10</v>
      </c>
      <c r="E56" s="15">
        <v>7</v>
      </c>
      <c r="F56" s="15">
        <v>6</v>
      </c>
      <c r="G56" s="15">
        <v>9</v>
      </c>
      <c r="H56" s="15">
        <v>10</v>
      </c>
      <c r="I56" s="15">
        <v>8</v>
      </c>
      <c r="J56" s="15">
        <v>6</v>
      </c>
      <c r="K56" s="15">
        <v>14</v>
      </c>
      <c r="L56" s="15">
        <v>13</v>
      </c>
      <c r="M56" s="15">
        <v>10</v>
      </c>
      <c r="N56" s="15">
        <v>9</v>
      </c>
      <c r="O56" s="15">
        <v>9</v>
      </c>
      <c r="P56" s="15">
        <v>9</v>
      </c>
      <c r="Q56" s="15">
        <v>4</v>
      </c>
      <c r="R56" s="15">
        <v>5</v>
      </c>
      <c r="S56" s="15">
        <v>4</v>
      </c>
      <c r="T56" s="15">
        <v>3</v>
      </c>
      <c r="U56" s="15">
        <v>3</v>
      </c>
      <c r="V56" s="15">
        <v>3</v>
      </c>
      <c r="W56" s="15">
        <v>0</v>
      </c>
    </row>
    <row r="57" spans="1:23" x14ac:dyDescent="0.35">
      <c r="A57" s="4" t="s">
        <v>109</v>
      </c>
      <c r="B57" s="15">
        <v>3.5000000000000003E-2</v>
      </c>
      <c r="C57" s="15">
        <v>8.1000000000000003E-2</v>
      </c>
      <c r="D57" s="15">
        <v>0.14199999999999999</v>
      </c>
      <c r="E57" s="15">
        <v>1.1120000000000001</v>
      </c>
      <c r="F57" s="15">
        <v>1.165</v>
      </c>
      <c r="G57" s="15">
        <v>2.0539999999999998</v>
      </c>
      <c r="H57" s="15">
        <v>2.6509999999999998</v>
      </c>
      <c r="I57" s="15">
        <v>4.6139999999999999</v>
      </c>
      <c r="J57" s="15">
        <v>7.9720000000000004</v>
      </c>
      <c r="K57" s="15">
        <v>12.759</v>
      </c>
      <c r="L57" s="15">
        <v>12.43</v>
      </c>
      <c r="M57" s="15">
        <v>22.413</v>
      </c>
      <c r="N57" s="15">
        <v>28.835999999999999</v>
      </c>
      <c r="O57" s="15">
        <v>28.526</v>
      </c>
      <c r="P57" s="15">
        <v>38.680999999999997</v>
      </c>
      <c r="Q57" s="15">
        <v>45.192999999999998</v>
      </c>
      <c r="R57" s="15">
        <v>57.401000000000003</v>
      </c>
      <c r="S57" s="15">
        <v>70.366</v>
      </c>
      <c r="T57" s="15">
        <v>146.90700000000001</v>
      </c>
      <c r="U57" s="15">
        <v>122.095</v>
      </c>
      <c r="V57" s="15">
        <v>165.94800000000001</v>
      </c>
      <c r="W57" s="15">
        <v>188.91</v>
      </c>
    </row>
    <row r="58" spans="1:23" x14ac:dyDescent="0.35">
      <c r="A58" s="4" t="s">
        <v>173</v>
      </c>
      <c r="B58" s="15">
        <v>8</v>
      </c>
      <c r="C58" s="15">
        <v>12</v>
      </c>
      <c r="D58" s="15">
        <v>18</v>
      </c>
      <c r="E58" s="15">
        <v>23</v>
      </c>
      <c r="F58" s="15">
        <v>28</v>
      </c>
      <c r="G58" s="15">
        <v>33</v>
      </c>
      <c r="H58" s="15">
        <v>38</v>
      </c>
      <c r="I58" s="15">
        <v>43</v>
      </c>
      <c r="J58" s="15">
        <v>48</v>
      </c>
      <c r="K58" s="15">
        <v>53</v>
      </c>
      <c r="L58" s="15">
        <v>58</v>
      </c>
      <c r="M58" s="15">
        <v>62</v>
      </c>
      <c r="N58" s="15">
        <v>67</v>
      </c>
      <c r="O58" s="15">
        <v>72</v>
      </c>
      <c r="P58" s="15">
        <v>77</v>
      </c>
      <c r="Q58" s="15">
        <v>82</v>
      </c>
      <c r="R58" s="15">
        <v>88</v>
      </c>
      <c r="S58" s="15">
        <v>92</v>
      </c>
      <c r="T58" s="15">
        <v>97</v>
      </c>
      <c r="U58" s="15">
        <v>102</v>
      </c>
      <c r="V58" s="15">
        <v>108</v>
      </c>
      <c r="W58" s="15">
        <v>124</v>
      </c>
    </row>
    <row r="61" spans="1:23" x14ac:dyDescent="0.35">
      <c r="B61" t="s">
        <v>174</v>
      </c>
      <c r="C61" t="s">
        <v>175</v>
      </c>
      <c r="D61" t="s">
        <v>176</v>
      </c>
      <c r="E61" t="s">
        <v>177</v>
      </c>
      <c r="F61" t="s">
        <v>178</v>
      </c>
      <c r="H61" t="s">
        <v>194</v>
      </c>
      <c r="I61" t="s">
        <v>195</v>
      </c>
      <c r="J61" t="s">
        <v>196</v>
      </c>
      <c r="K61" t="s">
        <v>197</v>
      </c>
      <c r="L61" t="s">
        <v>198</v>
      </c>
    </row>
    <row r="62" spans="1:23" x14ac:dyDescent="0.35">
      <c r="B62">
        <f>(B57*B55+C57*C55+D57*D55+E57*E55+F57*F55)/SUM(B55:F55)</f>
        <v>0.53315120274914096</v>
      </c>
      <c r="C62">
        <f>(G57*G55+H57*H55+I57*I55)/SUM(G55:I55)</f>
        <v>3.1054447592067986</v>
      </c>
      <c r="D62">
        <f>(J57*J55+K57*K55+L57*L55)/SUM(J55:L55)</f>
        <v>10.898876315789474</v>
      </c>
      <c r="E62">
        <f>(M57*M55+N57*N55+O57*O55)/SUM(M55:O55)</f>
        <v>26.512090909090908</v>
      </c>
      <c r="F62">
        <f>(P57*P55+Q57*Q55+R57*R55+S57*S55+T57*T55+U57*U55)/SUM(P55:U55)</f>
        <v>64.150992857142853</v>
      </c>
      <c r="H62">
        <f>(B57*B55+C57*C55+D57*D55+E57*E55+F57*F55+G57*G55+H57*H55)/SUM(B55:H55)</f>
        <v>1.3501537001897532</v>
      </c>
      <c r="I62">
        <f>(I57*I55+J57*J55+K57*K55)/SUM(I55:K55)</f>
        <v>8.3968490566037737</v>
      </c>
      <c r="J62">
        <f>(L57*L55+M57*M55+N55*N57+O57*O55)/SUM(L55:O55)</f>
        <v>22.800075313807532</v>
      </c>
      <c r="K62">
        <f>(P57*P55+Q57*Q55+R57*R55)/SUM(P55:R55)</f>
        <v>45.143472361809046</v>
      </c>
      <c r="L62">
        <f>(S57*S55+T57*T55+U57*U55+V57*V55+W57*W55)/SUM(S55:W55)</f>
        <v>128.63635135135135</v>
      </c>
    </row>
    <row r="63" spans="1:23" x14ac:dyDescent="0.35">
      <c r="B63">
        <v>0.53315120274914096</v>
      </c>
      <c r="C63">
        <v>3.1054447592067986</v>
      </c>
      <c r="D63">
        <v>10.898876315789474</v>
      </c>
      <c r="E63">
        <v>26.512090909090908</v>
      </c>
      <c r="F63">
        <v>64.150992857142853</v>
      </c>
    </row>
  </sheetData>
  <mergeCells count="3">
    <mergeCell ref="A3:W3"/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7"/>
  <sheetViews>
    <sheetView showGridLines="0" workbookViewId="0">
      <pane xSplit="1" ySplit="5" topLeftCell="C54" activePane="bottomRight" state="frozen"/>
      <selection pane="topRight"/>
      <selection pane="bottomLeft"/>
      <selection pane="bottomRight" activeCell="H67" sqref="H67:L67"/>
    </sheetView>
  </sheetViews>
  <sheetFormatPr defaultRowHeight="14.5" x14ac:dyDescent="0.35"/>
  <cols>
    <col min="1" max="1" width="30" customWidth="1"/>
    <col min="2" max="17" width="9" customWidth="1"/>
  </cols>
  <sheetData>
    <row r="1" spans="1:17" ht="16.5" x14ac:dyDescent="0.35">
      <c r="A1" s="19" t="s">
        <v>110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5">
      <c r="A2" s="18" t="s">
        <v>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35">
      <c r="A3" s="16" t="s">
        <v>34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5" spans="1:17" x14ac:dyDescent="0.35">
      <c r="A5" s="6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  <c r="O5" s="7" t="s">
        <v>49</v>
      </c>
      <c r="P5" s="7" t="s">
        <v>50</v>
      </c>
      <c r="Q5" s="7" t="s">
        <v>111</v>
      </c>
    </row>
    <row r="6" spans="1:17" x14ac:dyDescent="0.35">
      <c r="A6" s="8" t="s">
        <v>58</v>
      </c>
      <c r="B6" s="9"/>
      <c r="C6" s="9"/>
      <c r="D6" s="9"/>
      <c r="E6" s="9"/>
      <c r="F6" s="10">
        <v>0.3</v>
      </c>
      <c r="G6" s="9"/>
      <c r="H6" s="10">
        <v>2.4</v>
      </c>
      <c r="I6" s="10">
        <v>2.1</v>
      </c>
      <c r="J6" s="9" t="s">
        <v>61</v>
      </c>
      <c r="K6" s="9" t="s">
        <v>61</v>
      </c>
      <c r="L6" s="10">
        <v>2.2000000000000002</v>
      </c>
      <c r="M6" s="10">
        <v>0.1</v>
      </c>
      <c r="N6" s="9"/>
      <c r="O6" s="10">
        <v>5.8</v>
      </c>
      <c r="P6" s="10">
        <v>7.4</v>
      </c>
      <c r="Q6" s="9"/>
    </row>
    <row r="7" spans="1:17" x14ac:dyDescent="0.35">
      <c r="A7" s="2" t="s">
        <v>112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2">
        <v>0.1</v>
      </c>
      <c r="N7" s="11"/>
      <c r="O7" s="12">
        <v>5.8</v>
      </c>
      <c r="P7" s="12">
        <v>7.4</v>
      </c>
      <c r="Q7" s="11"/>
    </row>
    <row r="8" spans="1:17" x14ac:dyDescent="0.35">
      <c r="A8" s="2" t="s">
        <v>113</v>
      </c>
      <c r="B8" s="11"/>
      <c r="C8" s="11"/>
      <c r="D8" s="11"/>
      <c r="E8" s="11"/>
      <c r="F8" s="12">
        <v>0.3</v>
      </c>
      <c r="G8" s="11"/>
      <c r="H8" s="12">
        <v>2.4</v>
      </c>
      <c r="I8" s="12">
        <v>2.1</v>
      </c>
      <c r="J8" s="11" t="s">
        <v>61</v>
      </c>
      <c r="K8" s="11" t="s">
        <v>61</v>
      </c>
      <c r="L8" s="12">
        <v>2.2000000000000002</v>
      </c>
      <c r="M8" s="11"/>
      <c r="N8" s="11"/>
      <c r="O8" s="11"/>
      <c r="P8" s="11"/>
      <c r="Q8" s="11"/>
    </row>
    <row r="9" spans="1:17" x14ac:dyDescent="0.35">
      <c r="A9" s="8" t="s">
        <v>59</v>
      </c>
      <c r="B9" s="10">
        <v>9.1999999999999993</v>
      </c>
      <c r="C9" s="10">
        <v>19.3</v>
      </c>
      <c r="D9" s="10">
        <v>16.2</v>
      </c>
      <c r="E9" s="10">
        <v>15.8</v>
      </c>
      <c r="F9" s="10">
        <v>12.1</v>
      </c>
      <c r="G9" s="10">
        <v>10.3</v>
      </c>
      <c r="H9" s="10">
        <v>8.4</v>
      </c>
      <c r="I9" s="10">
        <v>26.5</v>
      </c>
      <c r="J9" s="10">
        <v>9.6</v>
      </c>
      <c r="K9" s="10">
        <v>21.4</v>
      </c>
      <c r="L9" s="10">
        <v>12.4</v>
      </c>
      <c r="M9" s="10">
        <v>11.8</v>
      </c>
      <c r="N9" s="10">
        <v>11.7</v>
      </c>
      <c r="O9" s="10">
        <v>12.9</v>
      </c>
      <c r="P9" s="10">
        <v>48.1</v>
      </c>
      <c r="Q9" s="10">
        <v>27.6</v>
      </c>
    </row>
    <row r="10" spans="1:17" x14ac:dyDescent="0.35">
      <c r="A10" s="2" t="s">
        <v>114</v>
      </c>
      <c r="B10" s="11"/>
      <c r="C10" s="11"/>
      <c r="D10" s="11"/>
      <c r="E10" s="11"/>
      <c r="F10" s="11"/>
      <c r="G10" s="11"/>
      <c r="H10" s="12">
        <v>0.2</v>
      </c>
      <c r="I10" s="12">
        <v>4.5999999999999996</v>
      </c>
      <c r="J10" s="12">
        <v>0.7</v>
      </c>
      <c r="K10" s="11"/>
      <c r="L10" s="11"/>
      <c r="M10" s="12">
        <v>0.7</v>
      </c>
      <c r="N10" s="11"/>
      <c r="O10" s="12">
        <v>1.4</v>
      </c>
      <c r="P10" s="11"/>
      <c r="Q10" s="12">
        <v>1.8</v>
      </c>
    </row>
    <row r="11" spans="1:17" x14ac:dyDescent="0.35">
      <c r="A11" s="2" t="s">
        <v>115</v>
      </c>
      <c r="B11" s="11"/>
      <c r="C11" s="11"/>
      <c r="D11" s="12">
        <v>0.5</v>
      </c>
      <c r="E11" s="11"/>
      <c r="F11" s="11"/>
      <c r="G11" s="11"/>
      <c r="H11" s="11"/>
      <c r="I11" s="11"/>
      <c r="J11" s="12">
        <v>0.3</v>
      </c>
      <c r="K11" s="11"/>
      <c r="L11" s="12">
        <v>0.1</v>
      </c>
      <c r="M11" s="12">
        <v>0.8</v>
      </c>
      <c r="N11" s="12">
        <v>1.4</v>
      </c>
      <c r="O11" s="12">
        <v>4.0999999999999996</v>
      </c>
      <c r="P11" s="11"/>
      <c r="Q11" s="11"/>
    </row>
    <row r="12" spans="1:17" x14ac:dyDescent="0.35">
      <c r="A12" s="2" t="s">
        <v>116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2">
        <v>14.8</v>
      </c>
    </row>
    <row r="13" spans="1:17" x14ac:dyDescent="0.35">
      <c r="A13" s="2" t="s">
        <v>117</v>
      </c>
      <c r="B13" s="11"/>
      <c r="C13" s="12">
        <v>1.7</v>
      </c>
      <c r="D13" s="11"/>
      <c r="E13" s="11"/>
      <c r="F13" s="11"/>
      <c r="G13" s="11" t="s">
        <v>61</v>
      </c>
      <c r="H13" s="11"/>
      <c r="I13" s="12">
        <v>0.4</v>
      </c>
      <c r="J13" s="12">
        <v>0.1</v>
      </c>
      <c r="K13" s="12">
        <v>0.7</v>
      </c>
      <c r="L13" s="12">
        <v>0.1</v>
      </c>
      <c r="M13" s="12">
        <v>0.2</v>
      </c>
      <c r="N13" s="12">
        <v>0.1</v>
      </c>
      <c r="O13" s="12">
        <v>2.8</v>
      </c>
      <c r="P13" s="12">
        <v>1.7</v>
      </c>
      <c r="Q13" s="11"/>
    </row>
    <row r="14" spans="1:17" x14ac:dyDescent="0.35">
      <c r="A14" s="2" t="s">
        <v>60</v>
      </c>
      <c r="B14" s="11"/>
      <c r="C14" s="11"/>
      <c r="D14" s="11"/>
      <c r="E14" s="11"/>
      <c r="F14" s="12">
        <v>0.1</v>
      </c>
      <c r="G14" s="12">
        <v>2.2000000000000002</v>
      </c>
      <c r="H14" s="12">
        <v>2.4</v>
      </c>
      <c r="I14" s="12">
        <v>1.3</v>
      </c>
      <c r="J14" s="12">
        <v>0.2</v>
      </c>
      <c r="K14" s="12">
        <v>0.8</v>
      </c>
      <c r="L14" s="12">
        <v>0.8</v>
      </c>
      <c r="M14" s="12">
        <v>0.7</v>
      </c>
      <c r="N14" s="12">
        <v>3</v>
      </c>
      <c r="O14" s="12">
        <v>0.4</v>
      </c>
      <c r="P14" s="11"/>
      <c r="Q14" s="12">
        <v>7</v>
      </c>
    </row>
    <row r="15" spans="1:17" x14ac:dyDescent="0.35">
      <c r="A15" s="2" t="s">
        <v>62</v>
      </c>
      <c r="B15" s="12">
        <v>9.1999999999999993</v>
      </c>
      <c r="C15" s="12">
        <v>17.600000000000001</v>
      </c>
      <c r="D15" s="12">
        <v>15.7</v>
      </c>
      <c r="E15" s="12">
        <v>15.8</v>
      </c>
      <c r="F15" s="12">
        <v>12</v>
      </c>
      <c r="G15" s="12">
        <v>8.1</v>
      </c>
      <c r="H15" s="12">
        <v>5.8</v>
      </c>
      <c r="I15" s="12">
        <v>20.2</v>
      </c>
      <c r="J15" s="12">
        <v>8.3000000000000007</v>
      </c>
      <c r="K15" s="12">
        <v>19.899999999999999</v>
      </c>
      <c r="L15" s="12">
        <v>11.4</v>
      </c>
      <c r="M15" s="12">
        <v>9.4</v>
      </c>
      <c r="N15" s="12">
        <v>7.2</v>
      </c>
      <c r="O15" s="12">
        <v>4.2</v>
      </c>
      <c r="P15" s="12">
        <v>46.4</v>
      </c>
      <c r="Q15" s="12">
        <v>4</v>
      </c>
    </row>
    <row r="16" spans="1:17" x14ac:dyDescent="0.35">
      <c r="A16" s="8" t="s">
        <v>63</v>
      </c>
      <c r="B16" s="10">
        <v>76.900000000000006</v>
      </c>
      <c r="C16" s="10">
        <v>57.4</v>
      </c>
      <c r="D16" s="10">
        <v>50.4</v>
      </c>
      <c r="E16" s="10">
        <v>41.4</v>
      </c>
      <c r="F16" s="10">
        <v>31.5</v>
      </c>
      <c r="G16" s="10">
        <v>31.1</v>
      </c>
      <c r="H16" s="10">
        <v>32.1</v>
      </c>
      <c r="I16" s="10">
        <v>16.5</v>
      </c>
      <c r="J16" s="10">
        <v>17.5</v>
      </c>
      <c r="K16" s="10">
        <v>11.2</v>
      </c>
      <c r="L16" s="10">
        <v>12.2</v>
      </c>
      <c r="M16" s="10">
        <v>12.9</v>
      </c>
      <c r="N16" s="10">
        <v>22.7</v>
      </c>
      <c r="O16" s="10">
        <v>15.9</v>
      </c>
      <c r="P16" s="10">
        <v>1.9</v>
      </c>
      <c r="Q16" s="10">
        <v>11.5</v>
      </c>
    </row>
    <row r="17" spans="1:17" x14ac:dyDescent="0.35">
      <c r="A17" s="2" t="s">
        <v>118</v>
      </c>
      <c r="B17" s="12">
        <v>7.3</v>
      </c>
      <c r="C17" s="12">
        <v>16.3</v>
      </c>
      <c r="D17" s="12">
        <v>21.7</v>
      </c>
      <c r="E17" s="12">
        <v>26.1</v>
      </c>
      <c r="F17" s="12">
        <v>19.100000000000001</v>
      </c>
      <c r="G17" s="12">
        <v>11.4</v>
      </c>
      <c r="H17" s="12">
        <v>16.3</v>
      </c>
      <c r="I17" s="12">
        <v>8.6999999999999993</v>
      </c>
      <c r="J17" s="12">
        <v>3.9</v>
      </c>
      <c r="K17" s="12">
        <v>4.4000000000000004</v>
      </c>
      <c r="L17" s="12">
        <v>3.8</v>
      </c>
      <c r="M17" s="12">
        <v>6.6</v>
      </c>
      <c r="N17" s="12">
        <v>12.9</v>
      </c>
      <c r="O17" s="12">
        <v>12.5</v>
      </c>
      <c r="P17" s="12">
        <v>0.3</v>
      </c>
      <c r="Q17" s="12">
        <v>0.4</v>
      </c>
    </row>
    <row r="18" spans="1:17" x14ac:dyDescent="0.35">
      <c r="A18" s="5" t="s">
        <v>119</v>
      </c>
      <c r="B18" s="13"/>
      <c r="C18" s="14">
        <v>5.5</v>
      </c>
      <c r="D18" s="14">
        <v>8.8000000000000007</v>
      </c>
      <c r="E18" s="14">
        <v>10.7</v>
      </c>
      <c r="F18" s="14">
        <v>7</v>
      </c>
      <c r="G18" s="14">
        <v>3.8</v>
      </c>
      <c r="H18" s="14">
        <v>4.7</v>
      </c>
      <c r="I18" s="14">
        <v>3.9</v>
      </c>
      <c r="J18" s="14">
        <v>1</v>
      </c>
      <c r="K18" s="14">
        <v>1.5</v>
      </c>
      <c r="L18" s="14">
        <v>1.8</v>
      </c>
      <c r="M18" s="14">
        <v>2</v>
      </c>
      <c r="N18" s="14">
        <v>10.1</v>
      </c>
      <c r="O18" s="14">
        <v>3.1</v>
      </c>
      <c r="P18" s="14">
        <v>0.1</v>
      </c>
      <c r="Q18" s="14">
        <v>0.3</v>
      </c>
    </row>
    <row r="19" spans="1:17" x14ac:dyDescent="0.35">
      <c r="A19" s="5" t="s">
        <v>120</v>
      </c>
      <c r="B19" s="13"/>
      <c r="C19" s="13"/>
      <c r="D19" s="13"/>
      <c r="E19" s="13"/>
      <c r="F19" s="13"/>
      <c r="G19" s="14">
        <v>0.3</v>
      </c>
      <c r="H19" s="13"/>
      <c r="I19" s="13"/>
      <c r="J19" s="14">
        <v>0.3</v>
      </c>
      <c r="K19" s="13"/>
      <c r="L19" s="13"/>
      <c r="M19" s="14">
        <v>0.1</v>
      </c>
      <c r="N19" s="13" t="s">
        <v>61</v>
      </c>
      <c r="O19" s="14">
        <v>8.8000000000000007</v>
      </c>
      <c r="P19" s="13"/>
      <c r="Q19" s="13"/>
    </row>
    <row r="20" spans="1:17" x14ac:dyDescent="0.35">
      <c r="A20" s="5" t="s">
        <v>121</v>
      </c>
      <c r="B20" s="14">
        <v>0.8</v>
      </c>
      <c r="C20" s="14">
        <v>3.5</v>
      </c>
      <c r="D20" s="14">
        <v>4.3</v>
      </c>
      <c r="E20" s="14">
        <v>4.4000000000000004</v>
      </c>
      <c r="F20" s="14">
        <v>4.5999999999999996</v>
      </c>
      <c r="G20" s="14">
        <v>1.8</v>
      </c>
      <c r="H20" s="14">
        <v>2.9</v>
      </c>
      <c r="I20" s="14">
        <v>1.8</v>
      </c>
      <c r="J20" s="14">
        <v>1.6</v>
      </c>
      <c r="K20" s="14">
        <v>1.2</v>
      </c>
      <c r="L20" s="14">
        <v>0.9</v>
      </c>
      <c r="M20" s="14">
        <v>1.9</v>
      </c>
      <c r="N20" s="14">
        <v>1</v>
      </c>
      <c r="O20" s="13" t="s">
        <v>61</v>
      </c>
      <c r="P20" s="13"/>
      <c r="Q20" s="13" t="s">
        <v>61</v>
      </c>
    </row>
    <row r="21" spans="1:17" x14ac:dyDescent="0.35">
      <c r="A21" s="5" t="s">
        <v>122</v>
      </c>
      <c r="B21" s="13"/>
      <c r="C21" s="14">
        <v>1.8</v>
      </c>
      <c r="D21" s="14">
        <v>2.4</v>
      </c>
      <c r="E21" s="14">
        <v>2.2000000000000002</v>
      </c>
      <c r="F21" s="14">
        <v>0.7</v>
      </c>
      <c r="G21" s="14">
        <v>0.3</v>
      </c>
      <c r="H21" s="14">
        <v>0.7</v>
      </c>
      <c r="I21" s="14">
        <v>0.2</v>
      </c>
      <c r="J21" s="14">
        <v>0.4</v>
      </c>
      <c r="K21" s="14">
        <v>1.1000000000000001</v>
      </c>
      <c r="L21" s="14">
        <v>0.5</v>
      </c>
      <c r="M21" s="14">
        <v>1.5</v>
      </c>
      <c r="N21" s="14">
        <v>1.4</v>
      </c>
      <c r="O21" s="14">
        <v>0.5</v>
      </c>
      <c r="P21" s="14">
        <v>0.2</v>
      </c>
      <c r="Q21" s="13"/>
    </row>
    <row r="22" spans="1:17" x14ac:dyDescent="0.35">
      <c r="A22" s="5" t="s">
        <v>123</v>
      </c>
      <c r="B22" s="14">
        <v>6.5</v>
      </c>
      <c r="C22" s="14">
        <v>5.5</v>
      </c>
      <c r="D22" s="14">
        <v>6.2</v>
      </c>
      <c r="E22" s="14">
        <v>8.8000000000000007</v>
      </c>
      <c r="F22" s="14">
        <v>6.8</v>
      </c>
      <c r="G22" s="14">
        <v>5.2</v>
      </c>
      <c r="H22" s="14">
        <v>8</v>
      </c>
      <c r="I22" s="14">
        <v>2.8</v>
      </c>
      <c r="J22" s="14">
        <v>0.6</v>
      </c>
      <c r="K22" s="14">
        <v>0.6</v>
      </c>
      <c r="L22" s="14">
        <v>0.6</v>
      </c>
      <c r="M22" s="14">
        <v>1.1000000000000001</v>
      </c>
      <c r="N22" s="14">
        <v>0.4</v>
      </c>
      <c r="O22" s="14">
        <v>0.1</v>
      </c>
      <c r="P22" s="13"/>
      <c r="Q22" s="14">
        <v>0.1</v>
      </c>
    </row>
    <row r="23" spans="1:17" x14ac:dyDescent="0.35">
      <c r="A23" s="2" t="s">
        <v>64</v>
      </c>
      <c r="B23" s="11"/>
      <c r="C23" s="12">
        <v>15.9</v>
      </c>
      <c r="D23" s="12">
        <v>21.1</v>
      </c>
      <c r="E23" s="12">
        <v>5.3</v>
      </c>
      <c r="F23" s="12">
        <v>10.8</v>
      </c>
      <c r="G23" s="12">
        <v>13.4</v>
      </c>
      <c r="H23" s="12">
        <v>9.6</v>
      </c>
      <c r="I23" s="12">
        <v>5.3</v>
      </c>
      <c r="J23" s="12">
        <v>10.3</v>
      </c>
      <c r="K23" s="12">
        <v>3.6</v>
      </c>
      <c r="L23" s="12">
        <v>6.6</v>
      </c>
      <c r="M23" s="12">
        <v>5.3</v>
      </c>
      <c r="N23" s="12">
        <v>9</v>
      </c>
      <c r="O23" s="12">
        <v>3.3</v>
      </c>
      <c r="P23" s="12">
        <v>0.2</v>
      </c>
      <c r="Q23" s="12">
        <v>10.6</v>
      </c>
    </row>
    <row r="24" spans="1:17" x14ac:dyDescent="0.35">
      <c r="A24" s="5" t="s">
        <v>65</v>
      </c>
      <c r="B24" s="13"/>
      <c r="C24" s="13"/>
      <c r="D24" s="13"/>
      <c r="E24" s="13"/>
      <c r="F24" s="14">
        <v>4.5</v>
      </c>
      <c r="G24" s="14">
        <v>0.2</v>
      </c>
      <c r="H24" s="13"/>
      <c r="I24" s="14">
        <v>0.2</v>
      </c>
      <c r="J24" s="13" t="s">
        <v>61</v>
      </c>
      <c r="K24" s="14">
        <v>1.7</v>
      </c>
      <c r="L24" s="14">
        <v>1.4</v>
      </c>
      <c r="M24" s="14">
        <v>3.8</v>
      </c>
      <c r="N24" s="14">
        <v>4</v>
      </c>
      <c r="O24" s="14">
        <v>2.4</v>
      </c>
      <c r="P24" s="13"/>
      <c r="Q24" s="13"/>
    </row>
    <row r="25" spans="1:17" x14ac:dyDescent="0.35">
      <c r="A25" s="5" t="s">
        <v>71</v>
      </c>
      <c r="B25" s="13"/>
      <c r="C25" s="14">
        <v>1</v>
      </c>
      <c r="D25" s="14">
        <v>5.2</v>
      </c>
      <c r="E25" s="13"/>
      <c r="F25" s="14">
        <v>3.4</v>
      </c>
      <c r="G25" s="14">
        <v>4.5</v>
      </c>
      <c r="H25" s="14">
        <v>2.2999999999999998</v>
      </c>
      <c r="I25" s="14">
        <v>0.6</v>
      </c>
      <c r="J25" s="14">
        <v>1.2</v>
      </c>
      <c r="K25" s="14">
        <v>0.6</v>
      </c>
      <c r="L25" s="14">
        <v>0.6</v>
      </c>
      <c r="M25" s="13"/>
      <c r="N25" s="14">
        <v>0.1</v>
      </c>
      <c r="O25" s="14">
        <v>0.1</v>
      </c>
      <c r="P25" s="13"/>
      <c r="Q25" s="14">
        <v>0.5</v>
      </c>
    </row>
    <row r="26" spans="1:17" x14ac:dyDescent="0.35">
      <c r="A26" s="5" t="s">
        <v>124</v>
      </c>
      <c r="B26" s="13"/>
      <c r="C26" s="14">
        <v>2.7</v>
      </c>
      <c r="D26" s="14">
        <v>4.5</v>
      </c>
      <c r="E26" s="13"/>
      <c r="F26" s="14">
        <v>0.1</v>
      </c>
      <c r="G26" s="14">
        <v>4.8</v>
      </c>
      <c r="H26" s="14">
        <v>2.7</v>
      </c>
      <c r="I26" s="14">
        <v>1.5</v>
      </c>
      <c r="J26" s="14">
        <v>0.8</v>
      </c>
      <c r="K26" s="14">
        <v>0.5</v>
      </c>
      <c r="L26" s="14">
        <v>0.5</v>
      </c>
      <c r="M26" s="14">
        <v>0.3</v>
      </c>
      <c r="N26" s="14">
        <v>2.2999999999999998</v>
      </c>
      <c r="O26" s="13"/>
      <c r="P26" s="13"/>
      <c r="Q26" s="13"/>
    </row>
    <row r="27" spans="1:17" x14ac:dyDescent="0.35">
      <c r="A27" s="5" t="s">
        <v>74</v>
      </c>
      <c r="B27" s="13"/>
      <c r="C27" s="14">
        <v>12.2</v>
      </c>
      <c r="D27" s="14">
        <v>11.4</v>
      </c>
      <c r="E27" s="14">
        <v>5.3</v>
      </c>
      <c r="F27" s="14">
        <v>2.8</v>
      </c>
      <c r="G27" s="14">
        <v>3.9</v>
      </c>
      <c r="H27" s="14">
        <v>4.5999999999999996</v>
      </c>
      <c r="I27" s="14">
        <v>3</v>
      </c>
      <c r="J27" s="14">
        <v>8.3000000000000007</v>
      </c>
      <c r="K27" s="14">
        <v>0.8</v>
      </c>
      <c r="L27" s="14">
        <v>4.0999999999999996</v>
      </c>
      <c r="M27" s="14">
        <v>1.2</v>
      </c>
      <c r="N27" s="14">
        <v>2.6</v>
      </c>
      <c r="O27" s="14">
        <v>0.8</v>
      </c>
      <c r="P27" s="14">
        <v>0.2</v>
      </c>
      <c r="Q27" s="14">
        <v>10.1</v>
      </c>
    </row>
    <row r="28" spans="1:17" x14ac:dyDescent="0.35">
      <c r="A28" s="2" t="s">
        <v>125</v>
      </c>
      <c r="B28" s="12">
        <v>61.7</v>
      </c>
      <c r="C28" s="12">
        <v>20.6</v>
      </c>
      <c r="D28" s="12">
        <v>2.7</v>
      </c>
      <c r="E28" s="12">
        <v>1.1000000000000001</v>
      </c>
      <c r="F28" s="11"/>
      <c r="G28" s="12">
        <v>4.5</v>
      </c>
      <c r="H28" s="12">
        <v>3.6</v>
      </c>
      <c r="I28" s="12">
        <v>0.2</v>
      </c>
      <c r="J28" s="12">
        <v>2.2000000000000002</v>
      </c>
      <c r="K28" s="12">
        <v>0.2</v>
      </c>
      <c r="L28" s="12">
        <v>0.3</v>
      </c>
      <c r="M28" s="12">
        <v>0.3</v>
      </c>
      <c r="N28" s="12">
        <v>0.6</v>
      </c>
      <c r="O28" s="11" t="s">
        <v>61</v>
      </c>
      <c r="P28" s="12">
        <v>1.4</v>
      </c>
      <c r="Q28" s="12">
        <v>0.3</v>
      </c>
    </row>
    <row r="29" spans="1:17" x14ac:dyDescent="0.35">
      <c r="A29" s="5" t="s">
        <v>126</v>
      </c>
      <c r="B29" s="13"/>
      <c r="C29" s="14">
        <v>8.6</v>
      </c>
      <c r="D29" s="13"/>
      <c r="E29" s="14">
        <v>0.8</v>
      </c>
      <c r="F29" s="13"/>
      <c r="G29" s="14">
        <v>4.5</v>
      </c>
      <c r="H29" s="14">
        <v>3.5</v>
      </c>
      <c r="I29" s="14">
        <v>0.2</v>
      </c>
      <c r="J29" s="14">
        <v>2.2000000000000002</v>
      </c>
      <c r="K29" s="14">
        <v>0.2</v>
      </c>
      <c r="L29" s="14">
        <v>0.3</v>
      </c>
      <c r="M29" s="14">
        <v>0.3</v>
      </c>
      <c r="N29" s="14">
        <v>0.6</v>
      </c>
      <c r="O29" s="13"/>
      <c r="P29" s="14">
        <v>1.4</v>
      </c>
      <c r="Q29" s="14">
        <v>0.3</v>
      </c>
    </row>
    <row r="30" spans="1:17" x14ac:dyDescent="0.35">
      <c r="A30" s="5" t="s">
        <v>127</v>
      </c>
      <c r="B30" s="14">
        <v>61.7</v>
      </c>
      <c r="C30" s="14">
        <v>12</v>
      </c>
      <c r="D30" s="14">
        <v>2.7</v>
      </c>
      <c r="E30" s="14">
        <v>0.3</v>
      </c>
      <c r="F30" s="13"/>
      <c r="G30" s="13" t="s">
        <v>61</v>
      </c>
      <c r="H30" s="14">
        <v>0.1</v>
      </c>
      <c r="I30" s="13"/>
      <c r="J30" s="13" t="s">
        <v>61</v>
      </c>
      <c r="K30" s="13"/>
      <c r="L30" s="13" t="s">
        <v>61</v>
      </c>
      <c r="M30" s="13"/>
      <c r="N30" s="13"/>
      <c r="O30" s="13" t="s">
        <v>61</v>
      </c>
      <c r="P30" s="13"/>
      <c r="Q30" s="13"/>
    </row>
    <row r="31" spans="1:17" x14ac:dyDescent="0.35">
      <c r="A31" s="2" t="s">
        <v>75</v>
      </c>
      <c r="B31" s="12">
        <v>7.9</v>
      </c>
      <c r="C31" s="12">
        <v>4.5999999999999996</v>
      </c>
      <c r="D31" s="12">
        <v>4.9000000000000004</v>
      </c>
      <c r="E31" s="12">
        <v>8.9</v>
      </c>
      <c r="F31" s="12">
        <v>1.6</v>
      </c>
      <c r="G31" s="12">
        <v>1.8</v>
      </c>
      <c r="H31" s="12">
        <v>2.6</v>
      </c>
      <c r="I31" s="12">
        <v>2.2999999999999998</v>
      </c>
      <c r="J31" s="12">
        <v>1.1000000000000001</v>
      </c>
      <c r="K31" s="12">
        <v>3</v>
      </c>
      <c r="L31" s="12">
        <v>1.5</v>
      </c>
      <c r="M31" s="12">
        <v>0.7</v>
      </c>
      <c r="N31" s="12">
        <v>0.2</v>
      </c>
      <c r="O31" s="12">
        <v>0.1</v>
      </c>
      <c r="P31" s="11"/>
      <c r="Q31" s="12">
        <v>0.2</v>
      </c>
    </row>
    <row r="32" spans="1:17" x14ac:dyDescent="0.35">
      <c r="A32" s="8" t="s">
        <v>76</v>
      </c>
      <c r="B32" s="9"/>
      <c r="C32" s="10">
        <v>0.2</v>
      </c>
      <c r="D32" s="10">
        <v>0.3</v>
      </c>
      <c r="E32" s="10">
        <v>0.8</v>
      </c>
      <c r="F32" s="10">
        <v>2.2000000000000002</v>
      </c>
      <c r="G32" s="10">
        <v>3</v>
      </c>
      <c r="H32" s="10">
        <v>2.6</v>
      </c>
      <c r="I32" s="10">
        <v>1.6</v>
      </c>
      <c r="J32" s="10">
        <v>15.3</v>
      </c>
      <c r="K32" s="10">
        <v>3.2</v>
      </c>
      <c r="L32" s="10">
        <v>6.9</v>
      </c>
      <c r="M32" s="10">
        <v>2.1</v>
      </c>
      <c r="N32" s="10">
        <v>3.6</v>
      </c>
      <c r="O32" s="10">
        <v>0.2</v>
      </c>
      <c r="P32" s="10">
        <v>0.5</v>
      </c>
      <c r="Q32" s="10">
        <v>0.3</v>
      </c>
    </row>
    <row r="33" spans="1:17" x14ac:dyDescent="0.35">
      <c r="A33" s="2" t="s">
        <v>77</v>
      </c>
      <c r="B33" s="11"/>
      <c r="C33" s="12">
        <v>0.1</v>
      </c>
      <c r="D33" s="11"/>
      <c r="E33" s="11" t="s">
        <v>61</v>
      </c>
      <c r="F33" s="12">
        <v>0.8</v>
      </c>
      <c r="G33" s="12">
        <v>2.2999999999999998</v>
      </c>
      <c r="H33" s="12">
        <v>1.7</v>
      </c>
      <c r="I33" s="12">
        <v>1.1000000000000001</v>
      </c>
      <c r="J33" s="12">
        <v>2</v>
      </c>
      <c r="K33" s="12">
        <v>2.9</v>
      </c>
      <c r="L33" s="12">
        <v>2.6</v>
      </c>
      <c r="M33" s="11"/>
      <c r="N33" s="12">
        <v>3.4</v>
      </c>
      <c r="O33" s="12">
        <v>0.1</v>
      </c>
      <c r="P33" s="12">
        <v>0.4</v>
      </c>
      <c r="Q33" s="12">
        <v>0.3</v>
      </c>
    </row>
    <row r="34" spans="1:17" x14ac:dyDescent="0.35">
      <c r="A34" s="5" t="s">
        <v>128</v>
      </c>
      <c r="B34" s="13"/>
      <c r="C34" s="13"/>
      <c r="D34" s="13"/>
      <c r="E34" s="13"/>
      <c r="F34" s="13"/>
      <c r="G34" s="13"/>
      <c r="H34" s="13"/>
      <c r="I34" s="13"/>
      <c r="J34" s="14">
        <v>0.6</v>
      </c>
      <c r="K34" s="14">
        <v>2.5</v>
      </c>
      <c r="L34" s="14">
        <v>0.1</v>
      </c>
      <c r="M34" s="13"/>
      <c r="N34" s="14">
        <v>2.4</v>
      </c>
      <c r="O34" s="13"/>
      <c r="P34" s="13"/>
      <c r="Q34" s="13"/>
    </row>
    <row r="35" spans="1:17" x14ac:dyDescent="0.35">
      <c r="A35" s="5" t="s">
        <v>80</v>
      </c>
      <c r="B35" s="13"/>
      <c r="C35" s="14">
        <v>0.1</v>
      </c>
      <c r="D35" s="13"/>
      <c r="E35" s="13" t="s">
        <v>61</v>
      </c>
      <c r="F35" s="14">
        <v>0.8</v>
      </c>
      <c r="G35" s="14">
        <v>2.2999999999999998</v>
      </c>
      <c r="H35" s="14">
        <v>1.7</v>
      </c>
      <c r="I35" s="14">
        <v>1.1000000000000001</v>
      </c>
      <c r="J35" s="14">
        <v>1.4</v>
      </c>
      <c r="K35" s="14">
        <v>0.4</v>
      </c>
      <c r="L35" s="14">
        <v>2.5</v>
      </c>
      <c r="M35" s="13"/>
      <c r="N35" s="14">
        <v>1</v>
      </c>
      <c r="O35" s="14">
        <v>0.1</v>
      </c>
      <c r="P35" s="14">
        <v>0.4</v>
      </c>
      <c r="Q35" s="14">
        <v>0.3</v>
      </c>
    </row>
    <row r="36" spans="1:17" x14ac:dyDescent="0.35">
      <c r="A36" s="2" t="s">
        <v>129</v>
      </c>
      <c r="B36" s="11"/>
      <c r="C36" s="12">
        <v>0.1</v>
      </c>
      <c r="D36" s="11"/>
      <c r="E36" s="12">
        <v>0.4</v>
      </c>
      <c r="F36" s="11"/>
      <c r="G36" s="11"/>
      <c r="H36" s="12">
        <v>0.4</v>
      </c>
      <c r="I36" s="12">
        <v>0.1</v>
      </c>
      <c r="J36" s="12">
        <v>0.3</v>
      </c>
      <c r="K36" s="12">
        <v>0.2</v>
      </c>
      <c r="L36" s="12">
        <v>3.6</v>
      </c>
      <c r="M36" s="12">
        <v>0.6</v>
      </c>
      <c r="N36" s="11" t="s">
        <v>61</v>
      </c>
      <c r="O36" s="12">
        <v>0.1</v>
      </c>
      <c r="P36" s="12">
        <v>0.1</v>
      </c>
      <c r="Q36" s="11"/>
    </row>
    <row r="37" spans="1:17" x14ac:dyDescent="0.35">
      <c r="A37" s="2" t="s">
        <v>81</v>
      </c>
      <c r="B37" s="11"/>
      <c r="C37" s="11"/>
      <c r="D37" s="11"/>
      <c r="E37" s="11"/>
      <c r="F37" s="12">
        <v>1.3</v>
      </c>
      <c r="G37" s="11"/>
      <c r="H37" s="11" t="s">
        <v>61</v>
      </c>
      <c r="I37" s="11"/>
      <c r="J37" s="12">
        <v>11.7</v>
      </c>
      <c r="K37" s="11"/>
      <c r="L37" s="11"/>
      <c r="M37" s="12">
        <v>0.9</v>
      </c>
      <c r="N37" s="11"/>
      <c r="O37" s="11"/>
      <c r="P37" s="11"/>
      <c r="Q37" s="11"/>
    </row>
    <row r="38" spans="1:17" x14ac:dyDescent="0.35">
      <c r="A38" s="2" t="s">
        <v>84</v>
      </c>
      <c r="B38" s="11"/>
      <c r="C38" s="11"/>
      <c r="D38" s="12">
        <v>0.3</v>
      </c>
      <c r="E38" s="12">
        <v>0.4</v>
      </c>
      <c r="F38" s="12">
        <v>0.1</v>
      </c>
      <c r="G38" s="12">
        <v>0.7</v>
      </c>
      <c r="H38" s="12">
        <v>0.5</v>
      </c>
      <c r="I38" s="12">
        <v>0.4</v>
      </c>
      <c r="J38" s="12">
        <v>1.3</v>
      </c>
      <c r="K38" s="12">
        <v>0.1</v>
      </c>
      <c r="L38" s="12">
        <v>0.7</v>
      </c>
      <c r="M38" s="12">
        <v>0.6</v>
      </c>
      <c r="N38" s="12">
        <v>0.2</v>
      </c>
      <c r="O38" s="11"/>
      <c r="P38" s="11"/>
      <c r="Q38" s="11" t="s">
        <v>61</v>
      </c>
    </row>
    <row r="39" spans="1:17" x14ac:dyDescent="0.35">
      <c r="A39" s="8" t="s">
        <v>85</v>
      </c>
      <c r="B39" s="9"/>
      <c r="C39" s="10">
        <v>2.6</v>
      </c>
      <c r="D39" s="10">
        <v>8</v>
      </c>
      <c r="E39" s="10">
        <v>0.6</v>
      </c>
      <c r="F39" s="10">
        <v>21</v>
      </c>
      <c r="G39" s="10">
        <v>17.7</v>
      </c>
      <c r="H39" s="10">
        <v>25</v>
      </c>
      <c r="I39" s="10">
        <v>19</v>
      </c>
      <c r="J39" s="10">
        <v>26.2</v>
      </c>
      <c r="K39" s="10">
        <v>38.1</v>
      </c>
      <c r="L39" s="10">
        <v>27.2</v>
      </c>
      <c r="M39" s="10">
        <v>40.5</v>
      </c>
      <c r="N39" s="10">
        <v>38</v>
      </c>
      <c r="O39" s="10">
        <v>27.9</v>
      </c>
      <c r="P39" s="10">
        <v>19.8</v>
      </c>
      <c r="Q39" s="10">
        <v>5.9</v>
      </c>
    </row>
    <row r="40" spans="1:17" x14ac:dyDescent="0.35">
      <c r="A40" s="2" t="s">
        <v>130</v>
      </c>
      <c r="B40" s="11"/>
      <c r="C40" s="11"/>
      <c r="D40" s="11"/>
      <c r="E40" s="12">
        <v>0.2</v>
      </c>
      <c r="F40" s="12">
        <v>2.2000000000000002</v>
      </c>
      <c r="G40" s="12">
        <v>2</v>
      </c>
      <c r="H40" s="12">
        <v>4.9000000000000004</v>
      </c>
      <c r="I40" s="12">
        <v>2.9</v>
      </c>
      <c r="J40" s="12">
        <v>3.8</v>
      </c>
      <c r="K40" s="12">
        <v>6.6</v>
      </c>
      <c r="L40" s="12">
        <v>4.3</v>
      </c>
      <c r="M40" s="12">
        <v>4.5999999999999996</v>
      </c>
      <c r="N40" s="12">
        <v>0.6</v>
      </c>
      <c r="O40" s="12">
        <v>1</v>
      </c>
      <c r="P40" s="12">
        <v>0.3</v>
      </c>
      <c r="Q40" s="11"/>
    </row>
    <row r="41" spans="1:17" x14ac:dyDescent="0.35">
      <c r="A41" s="5" t="s">
        <v>131</v>
      </c>
      <c r="B41" s="13"/>
      <c r="C41" s="13"/>
      <c r="D41" s="13"/>
      <c r="E41" s="14">
        <v>0.1</v>
      </c>
      <c r="F41" s="14">
        <v>0.2</v>
      </c>
      <c r="G41" s="14">
        <v>0.2</v>
      </c>
      <c r="H41" s="14">
        <v>0.1</v>
      </c>
      <c r="I41" s="14">
        <v>0.1</v>
      </c>
      <c r="J41" s="14">
        <v>0.2</v>
      </c>
      <c r="K41" s="14">
        <v>4.7</v>
      </c>
      <c r="L41" s="14">
        <v>2.2999999999999998</v>
      </c>
      <c r="M41" s="14">
        <v>3.3</v>
      </c>
      <c r="N41" s="14">
        <v>0.4</v>
      </c>
      <c r="O41" s="14">
        <v>0.3</v>
      </c>
      <c r="P41" s="13"/>
      <c r="Q41" s="13"/>
    </row>
    <row r="42" spans="1:17" x14ac:dyDescent="0.35">
      <c r="A42" s="5" t="s">
        <v>132</v>
      </c>
      <c r="B42" s="13"/>
      <c r="C42" s="13"/>
      <c r="D42" s="13"/>
      <c r="E42" s="14">
        <v>0.1</v>
      </c>
      <c r="F42" s="14">
        <v>2</v>
      </c>
      <c r="G42" s="14">
        <v>1.5</v>
      </c>
      <c r="H42" s="14">
        <v>4.7</v>
      </c>
      <c r="I42" s="14">
        <v>2.7</v>
      </c>
      <c r="J42" s="14">
        <v>3.3</v>
      </c>
      <c r="K42" s="14">
        <v>1.9</v>
      </c>
      <c r="L42" s="14">
        <v>1.6</v>
      </c>
      <c r="M42" s="14">
        <v>1.2</v>
      </c>
      <c r="N42" s="14">
        <v>0.2</v>
      </c>
      <c r="O42" s="14">
        <v>0.7</v>
      </c>
      <c r="P42" s="14">
        <v>0.3</v>
      </c>
      <c r="Q42" s="13"/>
    </row>
    <row r="43" spans="1:17" x14ac:dyDescent="0.35">
      <c r="A43" s="5" t="s">
        <v>133</v>
      </c>
      <c r="B43" s="13"/>
      <c r="C43" s="13"/>
      <c r="D43" s="13"/>
      <c r="E43" s="13"/>
      <c r="F43" s="13"/>
      <c r="G43" s="14">
        <v>0.3</v>
      </c>
      <c r="H43" s="14">
        <v>0.1</v>
      </c>
      <c r="I43" s="14">
        <v>0.1</v>
      </c>
      <c r="J43" s="14">
        <v>0.3</v>
      </c>
      <c r="K43" s="13" t="s">
        <v>61</v>
      </c>
      <c r="L43" s="14">
        <v>0.4</v>
      </c>
      <c r="M43" s="14">
        <v>0.1</v>
      </c>
      <c r="N43" s="13" t="s">
        <v>61</v>
      </c>
      <c r="O43" s="13" t="s">
        <v>61</v>
      </c>
      <c r="P43" s="13"/>
      <c r="Q43" s="13"/>
    </row>
    <row r="44" spans="1:17" x14ac:dyDescent="0.35">
      <c r="A44" s="2" t="s">
        <v>86</v>
      </c>
      <c r="B44" s="11"/>
      <c r="C44" s="12">
        <v>2.6</v>
      </c>
      <c r="D44" s="12">
        <v>8</v>
      </c>
      <c r="E44" s="12">
        <v>0.4</v>
      </c>
      <c r="F44" s="12">
        <v>15.3</v>
      </c>
      <c r="G44" s="12">
        <v>14.9</v>
      </c>
      <c r="H44" s="12">
        <v>18.2</v>
      </c>
      <c r="I44" s="12">
        <v>12.5</v>
      </c>
      <c r="J44" s="12">
        <v>18.899999999999999</v>
      </c>
      <c r="K44" s="12">
        <v>28.5</v>
      </c>
      <c r="L44" s="12">
        <v>20.6</v>
      </c>
      <c r="M44" s="12">
        <v>29</v>
      </c>
      <c r="N44" s="12">
        <v>29.3</v>
      </c>
      <c r="O44" s="12">
        <v>24.7</v>
      </c>
      <c r="P44" s="12">
        <v>18.899999999999999</v>
      </c>
      <c r="Q44" s="12">
        <v>5.9</v>
      </c>
    </row>
    <row r="45" spans="1:17" x14ac:dyDescent="0.35">
      <c r="A45" s="5" t="s">
        <v>134</v>
      </c>
      <c r="B45" s="13"/>
      <c r="C45" s="14">
        <v>1.4</v>
      </c>
      <c r="D45" s="14">
        <v>5.5</v>
      </c>
      <c r="E45" s="13"/>
      <c r="F45" s="14">
        <v>4</v>
      </c>
      <c r="G45" s="14">
        <v>13.8</v>
      </c>
      <c r="H45" s="14">
        <v>10.7</v>
      </c>
      <c r="I45" s="14">
        <v>4.3</v>
      </c>
      <c r="J45" s="14">
        <v>3.5</v>
      </c>
      <c r="K45" s="14">
        <v>4.3</v>
      </c>
      <c r="L45" s="14">
        <v>3.5</v>
      </c>
      <c r="M45" s="14">
        <v>7.9</v>
      </c>
      <c r="N45" s="14">
        <v>14.2</v>
      </c>
      <c r="O45" s="14">
        <v>7.3</v>
      </c>
      <c r="P45" s="14">
        <v>1.1000000000000001</v>
      </c>
      <c r="Q45" s="14">
        <v>0.2</v>
      </c>
    </row>
    <row r="46" spans="1:17" x14ac:dyDescent="0.35">
      <c r="A46" s="5" t="s">
        <v>135</v>
      </c>
      <c r="B46" s="13"/>
      <c r="C46" s="14">
        <v>0.3</v>
      </c>
      <c r="D46" s="13" t="s">
        <v>61</v>
      </c>
      <c r="E46" s="13"/>
      <c r="F46" s="14">
        <v>4.7</v>
      </c>
      <c r="G46" s="14">
        <v>0.1</v>
      </c>
      <c r="H46" s="14">
        <v>0.3</v>
      </c>
      <c r="I46" s="14">
        <v>1.3</v>
      </c>
      <c r="J46" s="14">
        <v>1.3</v>
      </c>
      <c r="K46" s="14">
        <v>2.4</v>
      </c>
      <c r="L46" s="14">
        <v>1</v>
      </c>
      <c r="M46" s="14">
        <v>4.9000000000000004</v>
      </c>
      <c r="N46" s="13"/>
      <c r="O46" s="13"/>
      <c r="P46" s="13"/>
      <c r="Q46" s="13"/>
    </row>
    <row r="47" spans="1:17" x14ac:dyDescent="0.35">
      <c r="A47" s="5" t="s">
        <v>136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4">
        <v>0.6</v>
      </c>
      <c r="M47" s="13"/>
      <c r="N47" s="13"/>
      <c r="O47" s="14">
        <v>2.1</v>
      </c>
      <c r="P47" s="13"/>
      <c r="Q47" s="13"/>
    </row>
    <row r="48" spans="1:17" x14ac:dyDescent="0.35">
      <c r="A48" s="5" t="s">
        <v>137</v>
      </c>
      <c r="B48" s="13"/>
      <c r="C48" s="13"/>
      <c r="D48" s="13"/>
      <c r="E48" s="13"/>
      <c r="F48" s="14">
        <v>4.0999999999999996</v>
      </c>
      <c r="G48" s="14">
        <v>0.4</v>
      </c>
      <c r="H48" s="14">
        <v>3.9</v>
      </c>
      <c r="I48" s="14">
        <v>3.1</v>
      </c>
      <c r="J48" s="14">
        <v>9.3000000000000007</v>
      </c>
      <c r="K48" s="14">
        <v>17.8</v>
      </c>
      <c r="L48" s="14">
        <v>11.4</v>
      </c>
      <c r="M48" s="14">
        <v>12.6</v>
      </c>
      <c r="N48" s="14">
        <v>11.5</v>
      </c>
      <c r="O48" s="14">
        <v>9.6999999999999993</v>
      </c>
      <c r="P48" s="14">
        <v>7.2</v>
      </c>
      <c r="Q48" s="14">
        <v>0.4</v>
      </c>
    </row>
    <row r="49" spans="1:17" x14ac:dyDescent="0.35">
      <c r="A49" s="5" t="s">
        <v>138</v>
      </c>
      <c r="B49" s="13"/>
      <c r="C49" s="14">
        <v>0.9</v>
      </c>
      <c r="D49" s="14">
        <v>2.5</v>
      </c>
      <c r="E49" s="14">
        <v>0.4</v>
      </c>
      <c r="F49" s="14">
        <v>2.5</v>
      </c>
      <c r="G49" s="14">
        <v>0.6</v>
      </c>
      <c r="H49" s="14">
        <v>3.3</v>
      </c>
      <c r="I49" s="14">
        <v>3.8</v>
      </c>
      <c r="J49" s="14">
        <v>4.8</v>
      </c>
      <c r="K49" s="14">
        <v>4</v>
      </c>
      <c r="L49" s="14">
        <v>4.0999999999999996</v>
      </c>
      <c r="M49" s="14">
        <v>3.6</v>
      </c>
      <c r="N49" s="14">
        <v>3.6</v>
      </c>
      <c r="O49" s="14">
        <v>5.6</v>
      </c>
      <c r="P49" s="14">
        <v>10.6</v>
      </c>
      <c r="Q49" s="14">
        <v>5.3</v>
      </c>
    </row>
    <row r="50" spans="1:17" x14ac:dyDescent="0.35">
      <c r="A50" s="2" t="s">
        <v>87</v>
      </c>
      <c r="B50" s="11"/>
      <c r="C50" s="11"/>
      <c r="D50" s="11"/>
      <c r="E50" s="11"/>
      <c r="F50" s="11"/>
      <c r="G50" s="11" t="s">
        <v>61</v>
      </c>
      <c r="H50" s="11" t="s">
        <v>61</v>
      </c>
      <c r="I50" s="12">
        <v>0.9</v>
      </c>
      <c r="J50" s="12">
        <v>2.6</v>
      </c>
      <c r="K50" s="12">
        <v>0.8</v>
      </c>
      <c r="L50" s="12">
        <v>0.5</v>
      </c>
      <c r="M50" s="12">
        <v>1.7</v>
      </c>
      <c r="N50" s="12">
        <v>3.1</v>
      </c>
      <c r="O50" s="12">
        <v>2</v>
      </c>
      <c r="P50" s="11"/>
      <c r="Q50" s="11"/>
    </row>
    <row r="51" spans="1:17" x14ac:dyDescent="0.35">
      <c r="A51" s="5" t="s">
        <v>139</v>
      </c>
      <c r="B51" s="13"/>
      <c r="C51" s="13"/>
      <c r="D51" s="13"/>
      <c r="E51" s="13"/>
      <c r="F51" s="13"/>
      <c r="G51" s="13"/>
      <c r="H51" s="13"/>
      <c r="I51" s="14">
        <v>0.9</v>
      </c>
      <c r="J51" s="14">
        <v>0.6</v>
      </c>
      <c r="K51" s="14">
        <v>0.7</v>
      </c>
      <c r="L51" s="13"/>
      <c r="M51" s="14">
        <v>1.2</v>
      </c>
      <c r="N51" s="14">
        <v>2.5</v>
      </c>
      <c r="O51" s="13"/>
      <c r="P51" s="13"/>
      <c r="Q51" s="13"/>
    </row>
    <row r="52" spans="1:17" x14ac:dyDescent="0.35">
      <c r="A52" s="5" t="s">
        <v>140</v>
      </c>
      <c r="B52" s="13"/>
      <c r="C52" s="13"/>
      <c r="D52" s="13"/>
      <c r="E52" s="13"/>
      <c r="F52" s="13"/>
      <c r="G52" s="13" t="s">
        <v>61</v>
      </c>
      <c r="H52" s="13" t="s">
        <v>61</v>
      </c>
      <c r="I52" s="13"/>
      <c r="J52" s="14">
        <v>2</v>
      </c>
      <c r="K52" s="14">
        <v>0.1</v>
      </c>
      <c r="L52" s="14">
        <v>0.5</v>
      </c>
      <c r="M52" s="14">
        <v>0.5</v>
      </c>
      <c r="N52" s="14">
        <v>0.6</v>
      </c>
      <c r="O52" s="14">
        <v>2</v>
      </c>
      <c r="P52" s="13"/>
      <c r="Q52" s="13"/>
    </row>
    <row r="53" spans="1:17" x14ac:dyDescent="0.35">
      <c r="A53" s="2" t="s">
        <v>88</v>
      </c>
      <c r="B53" s="11"/>
      <c r="C53" s="11"/>
      <c r="D53" s="11"/>
      <c r="E53" s="11"/>
      <c r="F53" s="12">
        <v>3.5</v>
      </c>
      <c r="G53" s="12">
        <v>0.8</v>
      </c>
      <c r="H53" s="12">
        <v>1.9</v>
      </c>
      <c r="I53" s="12">
        <v>2.7</v>
      </c>
      <c r="J53" s="12">
        <v>0.9</v>
      </c>
      <c r="K53" s="12">
        <v>2.2000000000000002</v>
      </c>
      <c r="L53" s="12">
        <v>1.8</v>
      </c>
      <c r="M53" s="12">
        <v>5.2</v>
      </c>
      <c r="N53" s="12">
        <v>5</v>
      </c>
      <c r="O53" s="12">
        <v>0.2</v>
      </c>
      <c r="P53" s="12">
        <v>0.6</v>
      </c>
      <c r="Q53" s="11"/>
    </row>
    <row r="54" spans="1:17" x14ac:dyDescent="0.35">
      <c r="A54" s="8" t="s">
        <v>89</v>
      </c>
      <c r="B54" s="9"/>
      <c r="C54" s="10">
        <v>2.8</v>
      </c>
      <c r="D54" s="10">
        <v>1.8</v>
      </c>
      <c r="E54" s="10">
        <v>0.8</v>
      </c>
      <c r="F54" s="10">
        <v>0.7</v>
      </c>
      <c r="G54" s="10">
        <v>0.5</v>
      </c>
      <c r="H54" s="10">
        <v>5</v>
      </c>
      <c r="I54" s="10">
        <v>0.7</v>
      </c>
      <c r="J54" s="10">
        <v>0.2</v>
      </c>
      <c r="K54" s="10">
        <v>1.1000000000000001</v>
      </c>
      <c r="L54" s="10">
        <v>6.5</v>
      </c>
      <c r="M54" s="10">
        <v>0.2</v>
      </c>
      <c r="N54" s="10">
        <v>0.3</v>
      </c>
      <c r="O54" s="9"/>
      <c r="P54" s="9"/>
      <c r="Q54" s="10">
        <v>21.9</v>
      </c>
    </row>
    <row r="55" spans="1:17" x14ac:dyDescent="0.35">
      <c r="A55" s="2" t="s">
        <v>94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2">
        <v>6.1</v>
      </c>
      <c r="M55" s="11"/>
      <c r="N55" s="11"/>
      <c r="O55" s="11"/>
      <c r="P55" s="11"/>
      <c r="Q55" s="11"/>
    </row>
    <row r="56" spans="1:17" x14ac:dyDescent="0.35">
      <c r="A56" s="2" t="s">
        <v>141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2">
        <v>21</v>
      </c>
    </row>
    <row r="57" spans="1:17" x14ac:dyDescent="0.35">
      <c r="A57" s="2" t="s">
        <v>104</v>
      </c>
      <c r="B57" s="11"/>
      <c r="C57" s="12">
        <v>2.8</v>
      </c>
      <c r="D57" s="12">
        <v>1.8</v>
      </c>
      <c r="E57" s="12">
        <v>0.8</v>
      </c>
      <c r="F57" s="12">
        <v>0.7</v>
      </c>
      <c r="G57" s="12">
        <v>0.5</v>
      </c>
      <c r="H57" s="12">
        <v>5</v>
      </c>
      <c r="I57" s="12">
        <v>0.7</v>
      </c>
      <c r="J57" s="12">
        <v>0.2</v>
      </c>
      <c r="K57" s="12">
        <v>1.1000000000000001</v>
      </c>
      <c r="L57" s="12">
        <v>0.4</v>
      </c>
      <c r="M57" s="12">
        <v>0.2</v>
      </c>
      <c r="N57" s="12">
        <v>0.3</v>
      </c>
      <c r="O57" s="11"/>
      <c r="P57" s="11"/>
      <c r="Q57" s="12">
        <v>0.9</v>
      </c>
    </row>
    <row r="58" spans="1:17" x14ac:dyDescent="0.35">
      <c r="A58" s="8" t="s">
        <v>105</v>
      </c>
      <c r="B58" s="10">
        <v>12.2</v>
      </c>
      <c r="C58" s="10">
        <v>16.600000000000001</v>
      </c>
      <c r="D58" s="10">
        <v>20.6</v>
      </c>
      <c r="E58" s="10">
        <v>35.9</v>
      </c>
      <c r="F58" s="10">
        <v>27.9</v>
      </c>
      <c r="G58" s="10">
        <v>33</v>
      </c>
      <c r="H58" s="10">
        <v>17.8</v>
      </c>
      <c r="I58" s="10">
        <v>21.3</v>
      </c>
      <c r="J58" s="10">
        <v>22.8</v>
      </c>
      <c r="K58" s="10">
        <v>18.8</v>
      </c>
      <c r="L58" s="10">
        <v>16.100000000000001</v>
      </c>
      <c r="M58" s="10">
        <v>20.3</v>
      </c>
      <c r="N58" s="10">
        <v>14.6</v>
      </c>
      <c r="O58" s="10">
        <v>5</v>
      </c>
      <c r="P58" s="10">
        <v>7.8</v>
      </c>
      <c r="Q58" s="10">
        <v>3</v>
      </c>
    </row>
    <row r="59" spans="1:17" x14ac:dyDescent="0.35">
      <c r="A59" s="8" t="s">
        <v>106</v>
      </c>
      <c r="B59" s="10">
        <v>1.7</v>
      </c>
      <c r="C59" s="10">
        <v>1.1000000000000001</v>
      </c>
      <c r="D59" s="10">
        <v>2.7</v>
      </c>
      <c r="E59" s="10">
        <v>4.7</v>
      </c>
      <c r="F59" s="10">
        <v>4.3</v>
      </c>
      <c r="G59" s="10">
        <v>4.4000000000000004</v>
      </c>
      <c r="H59" s="10">
        <v>6.7</v>
      </c>
      <c r="I59" s="10">
        <v>12.3</v>
      </c>
      <c r="J59" s="10">
        <v>8.4</v>
      </c>
      <c r="K59" s="10">
        <v>6.2</v>
      </c>
      <c r="L59" s="10">
        <v>16.5</v>
      </c>
      <c r="M59" s="10">
        <v>12.1</v>
      </c>
      <c r="N59" s="10">
        <v>9.1</v>
      </c>
      <c r="O59" s="10">
        <v>32.299999999999997</v>
      </c>
      <c r="P59" s="10">
        <v>14.5</v>
      </c>
      <c r="Q59" s="10">
        <v>29.8</v>
      </c>
    </row>
    <row r="61" spans="1:17" x14ac:dyDescent="0.35">
      <c r="A61" s="4" t="s">
        <v>107</v>
      </c>
      <c r="B61" s="15">
        <v>17</v>
      </c>
      <c r="C61" s="15">
        <v>208</v>
      </c>
      <c r="D61" s="15">
        <v>102</v>
      </c>
      <c r="E61" s="15">
        <v>91</v>
      </c>
      <c r="F61" s="15">
        <v>84</v>
      </c>
      <c r="G61" s="15">
        <v>128</v>
      </c>
      <c r="H61" s="15">
        <v>154</v>
      </c>
      <c r="I61" s="15">
        <v>120</v>
      </c>
      <c r="J61" s="15">
        <v>130</v>
      </c>
      <c r="K61" s="15">
        <v>129</v>
      </c>
      <c r="L61" s="15">
        <v>115</v>
      </c>
      <c r="M61" s="15">
        <v>83</v>
      </c>
      <c r="N61" s="15">
        <v>50</v>
      </c>
      <c r="O61" s="15">
        <v>35</v>
      </c>
      <c r="P61" s="15">
        <v>14</v>
      </c>
      <c r="Q61" s="15">
        <v>9</v>
      </c>
    </row>
    <row r="62" spans="1:17" x14ac:dyDescent="0.35">
      <c r="A62" s="4" t="s">
        <v>108</v>
      </c>
      <c r="B62" s="15">
        <v>4</v>
      </c>
      <c r="C62" s="15">
        <v>13</v>
      </c>
      <c r="D62" s="15">
        <v>3</v>
      </c>
      <c r="E62" s="15">
        <v>5</v>
      </c>
      <c r="F62" s="15">
        <v>9</v>
      </c>
      <c r="G62" s="15">
        <v>3</v>
      </c>
      <c r="H62" s="15">
        <v>9</v>
      </c>
      <c r="I62" s="15">
        <v>7</v>
      </c>
      <c r="J62" s="15">
        <v>7</v>
      </c>
      <c r="K62" s="15">
        <v>12</v>
      </c>
      <c r="L62" s="15">
        <v>12</v>
      </c>
      <c r="M62" s="15">
        <v>1</v>
      </c>
      <c r="N62" s="15">
        <v>1</v>
      </c>
      <c r="O62" s="15">
        <v>2</v>
      </c>
      <c r="P62" s="15">
        <v>0</v>
      </c>
      <c r="Q62" s="15">
        <v>0</v>
      </c>
    </row>
    <row r="63" spans="1:17" x14ac:dyDescent="0.35">
      <c r="A63" s="4" t="s">
        <v>109</v>
      </c>
      <c r="B63" s="15">
        <v>3.1E-2</v>
      </c>
      <c r="C63" s="15">
        <v>7.8E-2</v>
      </c>
      <c r="D63" s="15">
        <v>0.13200000000000001</v>
      </c>
      <c r="E63" s="15">
        <v>0.34399999999999997</v>
      </c>
      <c r="F63" s="15">
        <v>0.629</v>
      </c>
      <c r="G63" s="15">
        <v>1.0629999999999999</v>
      </c>
      <c r="H63" s="15">
        <v>1.3460000000000001</v>
      </c>
      <c r="I63" s="15">
        <v>2.5619999999999998</v>
      </c>
      <c r="J63" s="15">
        <v>3.52</v>
      </c>
      <c r="K63" s="15">
        <v>4.2160000000000002</v>
      </c>
      <c r="L63" s="15">
        <v>5.53</v>
      </c>
      <c r="M63" s="15">
        <v>7.4379999999999997</v>
      </c>
      <c r="N63" s="15">
        <v>9.5950000000000006</v>
      </c>
      <c r="O63" s="15">
        <v>20.606999999999999</v>
      </c>
      <c r="P63" s="15">
        <v>20.099</v>
      </c>
      <c r="Q63" s="15">
        <v>24.021000000000001</v>
      </c>
    </row>
    <row r="64" spans="1:17" x14ac:dyDescent="0.35">
      <c r="A64" s="4" t="s">
        <v>173</v>
      </c>
      <c r="B64" s="15">
        <v>9</v>
      </c>
      <c r="C64" s="15">
        <v>13</v>
      </c>
      <c r="D64" s="15">
        <v>16</v>
      </c>
      <c r="E64" s="15">
        <v>22</v>
      </c>
      <c r="F64" s="15">
        <v>28</v>
      </c>
      <c r="G64" s="15">
        <v>33</v>
      </c>
      <c r="H64" s="15">
        <v>37</v>
      </c>
      <c r="I64" s="15">
        <v>43</v>
      </c>
      <c r="J64" s="15">
        <v>47</v>
      </c>
      <c r="K64" s="15">
        <v>52</v>
      </c>
      <c r="L64" s="15">
        <v>57</v>
      </c>
      <c r="M64" s="15">
        <v>63</v>
      </c>
      <c r="N64" s="15">
        <v>67</v>
      </c>
      <c r="O64" s="15">
        <v>73</v>
      </c>
      <c r="P64" s="15">
        <v>78</v>
      </c>
      <c r="Q64" s="15">
        <v>83</v>
      </c>
    </row>
    <row r="66" spans="2:12" x14ac:dyDescent="0.35">
      <c r="B66" t="s">
        <v>189</v>
      </c>
      <c r="C66" t="s">
        <v>190</v>
      </c>
      <c r="D66" t="s">
        <v>191</v>
      </c>
      <c r="E66" t="s">
        <v>192</v>
      </c>
      <c r="F66" t="s">
        <v>193</v>
      </c>
      <c r="H66" t="s">
        <v>199</v>
      </c>
      <c r="I66" t="s">
        <v>200</v>
      </c>
      <c r="J66" t="s">
        <v>201</v>
      </c>
      <c r="K66" t="s">
        <v>202</v>
      </c>
      <c r="L66" t="s">
        <v>203</v>
      </c>
    </row>
    <row r="67" spans="2:12" x14ac:dyDescent="0.35">
      <c r="B67">
        <f>(B63*B61+C63*C61+D63*D61)/SUM(B61:D61)</f>
        <v>9.2400611620795117E-2</v>
      </c>
      <c r="C67">
        <f>(E63*E61+F63*F61)/SUM(E61:F61)</f>
        <v>0.48080000000000001</v>
      </c>
      <c r="D67">
        <f>(G63*G61+H63*H61)/SUM(G61:H61)</f>
        <v>1.2175460992907803</v>
      </c>
      <c r="E67">
        <f>(I63*I61+J63*J61)/SUM(I61:J61)</f>
        <v>3.0601599999999998</v>
      </c>
      <c r="F67">
        <f>(K63*K61+L63*L61+M61*M63+N61*N63)/SUM(K61:N61)</f>
        <v>6.0395702917771885</v>
      </c>
      <c r="H67">
        <f>(B63*B61+C63*C61+D63*D61+E63*E61+F63*F61)/SUM(B61:F61)</f>
        <v>0.2277988047808765</v>
      </c>
      <c r="I67">
        <f>(G63*G61+H63*H61+I63*I61)/SUM(G61:I61)</f>
        <v>1.6188756218905473</v>
      </c>
      <c r="J67">
        <f>(J63*J61+K63*K61)/SUM(J61:K61)</f>
        <v>3.8666563706563708</v>
      </c>
      <c r="K67">
        <f>(L63*L61+M63*M61+N63*N61)/SUM(L61:N61)</f>
        <v>6.9881209677419358</v>
      </c>
      <c r="L67">
        <f>(O63*O61+P63*P61+Q63*Q61)/SUM(O61:Q61)</f>
        <v>21.014137931034487</v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showGridLines="0" workbookViewId="0">
      <pane xSplit="1" ySplit="5" topLeftCell="B33" activePane="bottomRight" state="frozen"/>
      <selection pane="topRight"/>
      <selection pane="bottomLeft"/>
      <selection pane="bottomRight" activeCell="H45" sqref="H45:L45"/>
    </sheetView>
  </sheetViews>
  <sheetFormatPr defaultRowHeight="14.5" x14ac:dyDescent="0.35"/>
  <cols>
    <col min="1" max="1" width="30" customWidth="1"/>
    <col min="2" max="12" width="9" customWidth="1"/>
  </cols>
  <sheetData>
    <row r="1" spans="1:12" ht="16.5" x14ac:dyDescent="0.35">
      <c r="A1" s="19" t="s">
        <v>142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35">
      <c r="A2" s="18" t="s">
        <v>33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 x14ac:dyDescent="0.35">
      <c r="A3" s="16" t="s">
        <v>34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5" spans="1:12" x14ac:dyDescent="0.35">
      <c r="A5" s="6" t="s">
        <v>35</v>
      </c>
      <c r="B5" s="7" t="s">
        <v>143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144</v>
      </c>
    </row>
    <row r="6" spans="1:12" x14ac:dyDescent="0.35">
      <c r="A6" s="8" t="s">
        <v>59</v>
      </c>
      <c r="B6" s="9"/>
      <c r="C6" s="10">
        <v>0.4</v>
      </c>
      <c r="D6" s="10">
        <v>0.5</v>
      </c>
      <c r="E6" s="9"/>
      <c r="F6" s="10">
        <v>0.1</v>
      </c>
      <c r="G6" s="10">
        <v>0.3</v>
      </c>
      <c r="H6" s="10">
        <v>0.2</v>
      </c>
      <c r="I6" s="9" t="s">
        <v>61</v>
      </c>
      <c r="J6" s="10">
        <v>0.1</v>
      </c>
      <c r="K6" s="9"/>
      <c r="L6" s="9"/>
    </row>
    <row r="7" spans="1:12" x14ac:dyDescent="0.35">
      <c r="A7" s="8" t="s">
        <v>63</v>
      </c>
      <c r="B7" s="10">
        <v>89.7</v>
      </c>
      <c r="C7" s="10">
        <v>80.3</v>
      </c>
      <c r="D7" s="10">
        <v>81.599999999999994</v>
      </c>
      <c r="E7" s="10">
        <v>77.3</v>
      </c>
      <c r="F7" s="10">
        <v>28</v>
      </c>
      <c r="G7" s="10">
        <v>55.5</v>
      </c>
      <c r="H7" s="10">
        <v>21.3</v>
      </c>
      <c r="I7" s="10">
        <v>2.2999999999999998</v>
      </c>
      <c r="J7" s="10">
        <v>0.5</v>
      </c>
      <c r="K7" s="10">
        <v>0.2</v>
      </c>
      <c r="L7" s="10">
        <v>0.2</v>
      </c>
    </row>
    <row r="8" spans="1:12" x14ac:dyDescent="0.35">
      <c r="A8" s="2" t="s">
        <v>118</v>
      </c>
      <c r="B8" s="12">
        <v>58.7</v>
      </c>
      <c r="C8" s="12">
        <v>18.899999999999999</v>
      </c>
      <c r="D8" s="12">
        <v>6.1</v>
      </c>
      <c r="E8" s="12">
        <v>1.2</v>
      </c>
      <c r="F8" s="12">
        <v>1.7</v>
      </c>
      <c r="G8" s="12">
        <v>1.3</v>
      </c>
      <c r="H8" s="12">
        <v>0.7</v>
      </c>
      <c r="I8" s="11" t="s">
        <v>61</v>
      </c>
      <c r="J8" s="11" t="s">
        <v>61</v>
      </c>
      <c r="K8" s="11"/>
      <c r="L8" s="11" t="s">
        <v>61</v>
      </c>
    </row>
    <row r="9" spans="1:12" x14ac:dyDescent="0.35">
      <c r="A9" s="5" t="s">
        <v>145</v>
      </c>
      <c r="B9" s="14">
        <v>11</v>
      </c>
      <c r="C9" s="14">
        <v>4.9000000000000004</v>
      </c>
      <c r="D9" s="14">
        <v>0.1</v>
      </c>
      <c r="E9" s="14">
        <v>0.5</v>
      </c>
      <c r="F9" s="14">
        <v>0.6</v>
      </c>
      <c r="G9" s="14">
        <v>0.5</v>
      </c>
      <c r="H9" s="14">
        <v>0.2</v>
      </c>
      <c r="I9" s="13" t="s">
        <v>61</v>
      </c>
      <c r="J9" s="13"/>
      <c r="K9" s="13"/>
      <c r="L9" s="13" t="s">
        <v>61</v>
      </c>
    </row>
    <row r="10" spans="1:12" x14ac:dyDescent="0.35">
      <c r="A10" s="5" t="s">
        <v>146</v>
      </c>
      <c r="B10" s="14">
        <v>3.1</v>
      </c>
      <c r="C10" s="14">
        <v>3.4</v>
      </c>
      <c r="D10" s="14">
        <v>4.0999999999999996</v>
      </c>
      <c r="E10" s="14">
        <v>0.1</v>
      </c>
      <c r="F10" s="13" t="s">
        <v>61</v>
      </c>
      <c r="G10" s="14">
        <v>0.2</v>
      </c>
      <c r="H10" s="14">
        <v>0.1</v>
      </c>
      <c r="I10" s="13" t="s">
        <v>61</v>
      </c>
      <c r="J10" s="13"/>
      <c r="K10" s="13"/>
      <c r="L10" s="13"/>
    </row>
    <row r="11" spans="1:12" x14ac:dyDescent="0.35">
      <c r="A11" s="5" t="s">
        <v>147</v>
      </c>
      <c r="B11" s="14">
        <v>42.1</v>
      </c>
      <c r="C11" s="14">
        <v>6.2</v>
      </c>
      <c r="D11" s="14">
        <v>0.3</v>
      </c>
      <c r="E11" s="14">
        <v>0.4</v>
      </c>
      <c r="F11" s="14">
        <v>0.6</v>
      </c>
      <c r="G11" s="14">
        <v>0.4</v>
      </c>
      <c r="H11" s="14">
        <v>0.3</v>
      </c>
      <c r="I11" s="13"/>
      <c r="J11" s="13"/>
      <c r="K11" s="13"/>
      <c r="L11" s="13"/>
    </row>
    <row r="12" spans="1:12" x14ac:dyDescent="0.35">
      <c r="A12" s="5" t="s">
        <v>123</v>
      </c>
      <c r="B12" s="14">
        <v>2.5</v>
      </c>
      <c r="C12" s="14">
        <v>4.4000000000000004</v>
      </c>
      <c r="D12" s="14">
        <v>1.6</v>
      </c>
      <c r="E12" s="14">
        <v>0.2</v>
      </c>
      <c r="F12" s="14">
        <v>0.5</v>
      </c>
      <c r="G12" s="14">
        <v>0.2</v>
      </c>
      <c r="H12" s="14">
        <v>0.1</v>
      </c>
      <c r="I12" s="13" t="s">
        <v>61</v>
      </c>
      <c r="J12" s="13" t="s">
        <v>61</v>
      </c>
      <c r="K12" s="13"/>
      <c r="L12" s="13"/>
    </row>
    <row r="13" spans="1:12" x14ac:dyDescent="0.35">
      <c r="A13" s="2" t="s">
        <v>64</v>
      </c>
      <c r="B13" s="12">
        <v>11.8</v>
      </c>
      <c r="C13" s="12">
        <v>23.9</v>
      </c>
      <c r="D13" s="12">
        <v>31.1</v>
      </c>
      <c r="E13" s="12">
        <v>7</v>
      </c>
      <c r="F13" s="12">
        <v>16.2</v>
      </c>
      <c r="G13" s="12">
        <v>20</v>
      </c>
      <c r="H13" s="12">
        <v>10.5</v>
      </c>
      <c r="I13" s="12">
        <v>1.6</v>
      </c>
      <c r="J13" s="12">
        <v>0.3</v>
      </c>
      <c r="K13" s="12">
        <v>0.1</v>
      </c>
      <c r="L13" s="12">
        <v>0.1</v>
      </c>
    </row>
    <row r="14" spans="1:12" x14ac:dyDescent="0.35">
      <c r="A14" s="5" t="s">
        <v>148</v>
      </c>
      <c r="B14" s="14">
        <v>7.7</v>
      </c>
      <c r="C14" s="14">
        <v>16</v>
      </c>
      <c r="D14" s="14">
        <v>18.7</v>
      </c>
      <c r="E14" s="14">
        <v>3.7</v>
      </c>
      <c r="F14" s="14">
        <v>4.3</v>
      </c>
      <c r="G14" s="14">
        <v>6.1</v>
      </c>
      <c r="H14" s="14">
        <v>4.3</v>
      </c>
      <c r="I14" s="14">
        <v>0.3</v>
      </c>
      <c r="J14" s="14">
        <v>0.1</v>
      </c>
      <c r="K14" s="13"/>
      <c r="L14" s="13" t="s">
        <v>61</v>
      </c>
    </row>
    <row r="15" spans="1:12" x14ac:dyDescent="0.35">
      <c r="A15" s="5" t="s">
        <v>71</v>
      </c>
      <c r="B15" s="13"/>
      <c r="C15" s="14">
        <v>1.7</v>
      </c>
      <c r="D15" s="14">
        <v>5.3</v>
      </c>
      <c r="E15" s="14">
        <v>2.1</v>
      </c>
      <c r="F15" s="14">
        <v>10.7</v>
      </c>
      <c r="G15" s="14">
        <v>12</v>
      </c>
      <c r="H15" s="14">
        <v>4.3</v>
      </c>
      <c r="I15" s="14">
        <v>1.2</v>
      </c>
      <c r="J15" s="14">
        <v>0.2</v>
      </c>
      <c r="K15" s="14">
        <v>0.1</v>
      </c>
      <c r="L15" s="14">
        <v>0.1</v>
      </c>
    </row>
    <row r="16" spans="1:12" x14ac:dyDescent="0.35">
      <c r="A16" s="5" t="s">
        <v>74</v>
      </c>
      <c r="B16" s="14">
        <v>4.0999999999999996</v>
      </c>
      <c r="C16" s="14">
        <v>6.2</v>
      </c>
      <c r="D16" s="14">
        <v>7.1</v>
      </c>
      <c r="E16" s="14">
        <v>1.2</v>
      </c>
      <c r="F16" s="14">
        <v>1.2</v>
      </c>
      <c r="G16" s="14">
        <v>1.9</v>
      </c>
      <c r="H16" s="14">
        <v>1.9</v>
      </c>
      <c r="I16" s="14">
        <v>0.1</v>
      </c>
      <c r="J16" s="13"/>
      <c r="K16" s="14">
        <v>0.1</v>
      </c>
      <c r="L16" s="13"/>
    </row>
    <row r="17" spans="1:12" x14ac:dyDescent="0.35">
      <c r="A17" s="2" t="s">
        <v>125</v>
      </c>
      <c r="B17" s="12">
        <v>1.9</v>
      </c>
      <c r="C17" s="12">
        <v>5.7</v>
      </c>
      <c r="D17" s="12">
        <v>23.7</v>
      </c>
      <c r="E17" s="12">
        <v>64.400000000000006</v>
      </c>
      <c r="F17" s="12">
        <v>7.8</v>
      </c>
      <c r="G17" s="12">
        <v>26.4</v>
      </c>
      <c r="H17" s="12">
        <v>8.8000000000000007</v>
      </c>
      <c r="I17" s="12">
        <v>0.6</v>
      </c>
      <c r="J17" s="12">
        <v>0.2</v>
      </c>
      <c r="K17" s="12">
        <v>0.1</v>
      </c>
      <c r="L17" s="11"/>
    </row>
    <row r="18" spans="1:12" x14ac:dyDescent="0.35">
      <c r="A18" s="5" t="s">
        <v>126</v>
      </c>
      <c r="B18" s="14">
        <v>1.9</v>
      </c>
      <c r="C18" s="14">
        <v>5.7</v>
      </c>
      <c r="D18" s="14">
        <v>23.7</v>
      </c>
      <c r="E18" s="14">
        <v>64.400000000000006</v>
      </c>
      <c r="F18" s="14">
        <v>7.8</v>
      </c>
      <c r="G18" s="14">
        <v>26.4</v>
      </c>
      <c r="H18" s="14">
        <v>8.8000000000000007</v>
      </c>
      <c r="I18" s="14">
        <v>0.6</v>
      </c>
      <c r="J18" s="14">
        <v>0.2</v>
      </c>
      <c r="K18" s="14">
        <v>0.1</v>
      </c>
      <c r="L18" s="13"/>
    </row>
    <row r="19" spans="1:12" x14ac:dyDescent="0.35">
      <c r="A19" s="2" t="s">
        <v>149</v>
      </c>
      <c r="B19" s="12">
        <v>4.2</v>
      </c>
      <c r="C19" s="12">
        <v>22.1</v>
      </c>
      <c r="D19" s="12">
        <v>12.8</v>
      </c>
      <c r="E19" s="12">
        <v>3.9</v>
      </c>
      <c r="F19" s="12">
        <v>0.2</v>
      </c>
      <c r="G19" s="12">
        <v>6.7</v>
      </c>
      <c r="H19" s="12">
        <v>0.6</v>
      </c>
      <c r="I19" s="11" t="s">
        <v>61</v>
      </c>
      <c r="J19" s="11" t="s">
        <v>61</v>
      </c>
      <c r="K19" s="11"/>
      <c r="L19" s="12">
        <v>0.1</v>
      </c>
    </row>
    <row r="20" spans="1:12" x14ac:dyDescent="0.35">
      <c r="A20" s="5" t="s">
        <v>150</v>
      </c>
      <c r="B20" s="14">
        <v>4.2</v>
      </c>
      <c r="C20" s="14">
        <v>22.1</v>
      </c>
      <c r="D20" s="14">
        <v>12.8</v>
      </c>
      <c r="E20" s="14">
        <v>3.9</v>
      </c>
      <c r="F20" s="14">
        <v>0.2</v>
      </c>
      <c r="G20" s="14">
        <v>6.7</v>
      </c>
      <c r="H20" s="14">
        <v>0.6</v>
      </c>
      <c r="I20" s="13" t="s">
        <v>61</v>
      </c>
      <c r="J20" s="13" t="s">
        <v>61</v>
      </c>
      <c r="K20" s="13"/>
      <c r="L20" s="14">
        <v>0.1</v>
      </c>
    </row>
    <row r="21" spans="1:12" x14ac:dyDescent="0.35">
      <c r="A21" s="2" t="s">
        <v>151</v>
      </c>
      <c r="B21" s="12">
        <v>0.8</v>
      </c>
      <c r="C21" s="12">
        <v>1.1000000000000001</v>
      </c>
      <c r="D21" s="12">
        <v>0.2</v>
      </c>
      <c r="E21" s="11" t="s">
        <v>61</v>
      </c>
      <c r="F21" s="12">
        <v>0.2</v>
      </c>
      <c r="G21" s="11" t="s">
        <v>61</v>
      </c>
      <c r="H21" s="11" t="s">
        <v>61</v>
      </c>
      <c r="I21" s="11"/>
      <c r="J21" s="11"/>
      <c r="K21" s="11"/>
      <c r="L21" s="12">
        <v>0.1</v>
      </c>
    </row>
    <row r="22" spans="1:12" x14ac:dyDescent="0.35">
      <c r="A22" s="2" t="s">
        <v>152</v>
      </c>
      <c r="B22" s="12">
        <v>1.7</v>
      </c>
      <c r="C22" s="11" t="s">
        <v>61</v>
      </c>
      <c r="D22" s="11" t="s">
        <v>61</v>
      </c>
      <c r="E22" s="11"/>
      <c r="F22" s="11"/>
      <c r="G22" s="11"/>
      <c r="H22" s="11"/>
      <c r="I22" s="11"/>
      <c r="J22" s="11"/>
      <c r="K22" s="11"/>
      <c r="L22" s="11"/>
    </row>
    <row r="23" spans="1:12" x14ac:dyDescent="0.35">
      <c r="A23" s="2" t="s">
        <v>75</v>
      </c>
      <c r="B23" s="12">
        <v>10.6</v>
      </c>
      <c r="C23" s="12">
        <v>8.6</v>
      </c>
      <c r="D23" s="12">
        <v>7.7</v>
      </c>
      <c r="E23" s="12">
        <v>0.8</v>
      </c>
      <c r="F23" s="12">
        <v>1.9</v>
      </c>
      <c r="G23" s="12">
        <v>1.1000000000000001</v>
      </c>
      <c r="H23" s="12">
        <v>0.7</v>
      </c>
      <c r="I23" s="12">
        <v>0.1</v>
      </c>
      <c r="J23" s="11" t="s">
        <v>61</v>
      </c>
      <c r="K23" s="11" t="s">
        <v>61</v>
      </c>
      <c r="L23" s="11" t="s">
        <v>61</v>
      </c>
    </row>
    <row r="24" spans="1:12" x14ac:dyDescent="0.35">
      <c r="A24" s="8" t="s">
        <v>76</v>
      </c>
      <c r="B24" s="9"/>
      <c r="C24" s="9"/>
      <c r="D24" s="9"/>
      <c r="E24" s="9"/>
      <c r="F24" s="10">
        <v>17.8</v>
      </c>
      <c r="G24" s="10">
        <v>3.4</v>
      </c>
      <c r="H24" s="10">
        <v>14.9</v>
      </c>
      <c r="I24" s="10">
        <v>14.3</v>
      </c>
      <c r="J24" s="10">
        <v>0.1</v>
      </c>
      <c r="K24" s="10">
        <v>12</v>
      </c>
      <c r="L24" s="10">
        <v>12</v>
      </c>
    </row>
    <row r="25" spans="1:12" x14ac:dyDescent="0.35">
      <c r="A25" s="2" t="s">
        <v>153</v>
      </c>
      <c r="B25" s="11"/>
      <c r="C25" s="11"/>
      <c r="D25" s="11"/>
      <c r="E25" s="11"/>
      <c r="F25" s="12">
        <v>15.3</v>
      </c>
      <c r="G25" s="11"/>
      <c r="H25" s="12">
        <v>13.5</v>
      </c>
      <c r="I25" s="12">
        <v>10</v>
      </c>
      <c r="J25" s="11"/>
      <c r="K25" s="12">
        <v>12</v>
      </c>
      <c r="L25" s="12">
        <v>12</v>
      </c>
    </row>
    <row r="26" spans="1:12" x14ac:dyDescent="0.35">
      <c r="A26" s="2" t="s">
        <v>154</v>
      </c>
      <c r="B26" s="11"/>
      <c r="C26" s="11"/>
      <c r="D26" s="11"/>
      <c r="E26" s="11"/>
      <c r="F26" s="12">
        <v>2.5</v>
      </c>
      <c r="G26" s="12">
        <v>3.4</v>
      </c>
      <c r="H26" s="12">
        <v>1.4</v>
      </c>
      <c r="I26" s="12">
        <v>4.3</v>
      </c>
      <c r="J26" s="12">
        <v>0.1</v>
      </c>
      <c r="K26" s="11" t="s">
        <v>61</v>
      </c>
      <c r="L26" s="11"/>
    </row>
    <row r="27" spans="1:12" x14ac:dyDescent="0.35">
      <c r="A27" s="8" t="s">
        <v>89</v>
      </c>
      <c r="B27" s="10">
        <v>4.8</v>
      </c>
      <c r="C27" s="10">
        <v>13.9</v>
      </c>
      <c r="D27" s="10">
        <v>14</v>
      </c>
      <c r="E27" s="10">
        <v>19.899999999999999</v>
      </c>
      <c r="F27" s="10">
        <v>52.8</v>
      </c>
      <c r="G27" s="10">
        <v>38.700000000000003</v>
      </c>
      <c r="H27" s="10">
        <v>62.4</v>
      </c>
      <c r="I27" s="10">
        <v>83.4</v>
      </c>
      <c r="J27" s="10">
        <v>98.9</v>
      </c>
      <c r="K27" s="10">
        <v>87.8</v>
      </c>
      <c r="L27" s="10">
        <v>99.8</v>
      </c>
    </row>
    <row r="28" spans="1:12" x14ac:dyDescent="0.35">
      <c r="A28" s="2" t="s">
        <v>155</v>
      </c>
      <c r="B28" s="11"/>
      <c r="C28" s="11"/>
      <c r="D28" s="11"/>
      <c r="E28" s="11"/>
      <c r="F28" s="11"/>
      <c r="G28" s="11"/>
      <c r="H28" s="11"/>
      <c r="I28" s="12">
        <v>5.6</v>
      </c>
      <c r="J28" s="11"/>
      <c r="K28" s="11"/>
      <c r="L28" s="11"/>
    </row>
    <row r="29" spans="1:12" x14ac:dyDescent="0.35">
      <c r="A29" s="2" t="s">
        <v>141</v>
      </c>
      <c r="B29" s="11"/>
      <c r="C29" s="11"/>
      <c r="D29" s="11"/>
      <c r="E29" s="11"/>
      <c r="F29" s="11"/>
      <c r="G29" s="11"/>
      <c r="H29" s="12">
        <v>3.5</v>
      </c>
      <c r="I29" s="12">
        <v>3.5</v>
      </c>
      <c r="J29" s="12">
        <v>8</v>
      </c>
      <c r="K29" s="11"/>
      <c r="L29" s="11"/>
    </row>
    <row r="30" spans="1:12" x14ac:dyDescent="0.35">
      <c r="A30" s="2" t="s">
        <v>95</v>
      </c>
      <c r="B30" s="11"/>
      <c r="C30" s="12">
        <v>2</v>
      </c>
      <c r="D30" s="12">
        <v>4</v>
      </c>
      <c r="E30" s="11"/>
      <c r="F30" s="12">
        <v>22.1</v>
      </c>
      <c r="G30" s="12">
        <v>5</v>
      </c>
      <c r="H30" s="12">
        <v>6.9</v>
      </c>
      <c r="I30" s="12">
        <v>24.2</v>
      </c>
      <c r="J30" s="12">
        <v>5.9</v>
      </c>
      <c r="K30" s="11"/>
      <c r="L30" s="11"/>
    </row>
    <row r="31" spans="1:12" x14ac:dyDescent="0.35">
      <c r="A31" s="2" t="s">
        <v>156</v>
      </c>
      <c r="B31" s="11"/>
      <c r="C31" s="11"/>
      <c r="D31" s="11"/>
      <c r="E31" s="11"/>
      <c r="F31" s="11"/>
      <c r="G31" s="11"/>
      <c r="H31" s="12">
        <v>1.2</v>
      </c>
      <c r="I31" s="11"/>
      <c r="J31" s="11"/>
      <c r="K31" s="11"/>
      <c r="L31" s="11"/>
    </row>
    <row r="32" spans="1:12" x14ac:dyDescent="0.35">
      <c r="A32" s="2" t="s">
        <v>97</v>
      </c>
      <c r="B32" s="11"/>
      <c r="C32" s="12">
        <v>6.3</v>
      </c>
      <c r="D32" s="12">
        <v>2</v>
      </c>
      <c r="E32" s="11"/>
      <c r="F32" s="11"/>
      <c r="G32" s="11" t="s">
        <v>61</v>
      </c>
      <c r="H32" s="12">
        <v>3.1</v>
      </c>
      <c r="I32" s="12">
        <v>0.4</v>
      </c>
      <c r="J32" s="12">
        <v>7.7</v>
      </c>
      <c r="K32" s="11"/>
      <c r="L32" s="11"/>
    </row>
    <row r="33" spans="1:12" x14ac:dyDescent="0.35">
      <c r="A33" s="2" t="s">
        <v>99</v>
      </c>
      <c r="B33" s="11"/>
      <c r="C33" s="11"/>
      <c r="D33" s="11"/>
      <c r="E33" s="11"/>
      <c r="F33" s="11"/>
      <c r="G33" s="11"/>
      <c r="H33" s="12">
        <v>7.8</v>
      </c>
      <c r="I33" s="12">
        <v>8.8000000000000007</v>
      </c>
      <c r="J33" s="12">
        <v>6.1</v>
      </c>
      <c r="K33" s="12">
        <v>6.8</v>
      </c>
      <c r="L33" s="12">
        <v>15.5</v>
      </c>
    </row>
    <row r="34" spans="1:12" x14ac:dyDescent="0.35">
      <c r="A34" s="2" t="s">
        <v>157</v>
      </c>
      <c r="B34" s="11"/>
      <c r="C34" s="11"/>
      <c r="D34" s="11"/>
      <c r="E34" s="11"/>
      <c r="F34" s="11"/>
      <c r="G34" s="11"/>
      <c r="H34" s="11"/>
      <c r="I34" s="11"/>
      <c r="J34" s="12">
        <v>10.5</v>
      </c>
      <c r="K34" s="11"/>
      <c r="L34" s="11"/>
    </row>
    <row r="35" spans="1:12" x14ac:dyDescent="0.35">
      <c r="A35" s="2" t="s">
        <v>158</v>
      </c>
      <c r="B35" s="11"/>
      <c r="C35" s="11"/>
      <c r="D35" s="11"/>
      <c r="E35" s="11"/>
      <c r="F35" s="11"/>
      <c r="G35" s="11"/>
      <c r="H35" s="12">
        <v>2.7</v>
      </c>
      <c r="I35" s="12">
        <v>3.4</v>
      </c>
      <c r="J35" s="11"/>
      <c r="K35" s="11"/>
      <c r="L35" s="12">
        <v>20.6</v>
      </c>
    </row>
    <row r="36" spans="1:12" x14ac:dyDescent="0.35">
      <c r="A36" s="2" t="s">
        <v>104</v>
      </c>
      <c r="B36" s="12">
        <v>4.8</v>
      </c>
      <c r="C36" s="12">
        <v>5.6</v>
      </c>
      <c r="D36" s="12">
        <v>8</v>
      </c>
      <c r="E36" s="12">
        <v>19.899999999999999</v>
      </c>
      <c r="F36" s="12">
        <v>30.7</v>
      </c>
      <c r="G36" s="12">
        <v>33.700000000000003</v>
      </c>
      <c r="H36" s="12">
        <v>37.200000000000003</v>
      </c>
      <c r="I36" s="12">
        <v>37.5</v>
      </c>
      <c r="J36" s="12">
        <v>60.7</v>
      </c>
      <c r="K36" s="12">
        <v>81</v>
      </c>
      <c r="L36" s="12">
        <v>63.7</v>
      </c>
    </row>
    <row r="37" spans="1:12" x14ac:dyDescent="0.35">
      <c r="A37" s="8" t="s">
        <v>105</v>
      </c>
      <c r="B37" s="10">
        <v>5.5</v>
      </c>
      <c r="C37" s="10">
        <v>5.4</v>
      </c>
      <c r="D37" s="10">
        <v>3.9</v>
      </c>
      <c r="E37" s="10">
        <v>2.8</v>
      </c>
      <c r="F37" s="10">
        <v>1.3</v>
      </c>
      <c r="G37" s="10">
        <v>2.1</v>
      </c>
      <c r="H37" s="10">
        <v>1.2</v>
      </c>
      <c r="I37" s="9" t="s">
        <v>61</v>
      </c>
      <c r="J37" s="10">
        <v>0.4</v>
      </c>
      <c r="K37" s="9" t="s">
        <v>61</v>
      </c>
      <c r="L37" s="9"/>
    </row>
    <row r="39" spans="1:12" x14ac:dyDescent="0.35">
      <c r="A39" s="4" t="s">
        <v>107</v>
      </c>
      <c r="B39" s="15">
        <v>344</v>
      </c>
      <c r="C39" s="15">
        <v>603</v>
      </c>
      <c r="D39" s="15">
        <v>216</v>
      </c>
      <c r="E39" s="15">
        <v>86</v>
      </c>
      <c r="F39" s="15">
        <v>243</v>
      </c>
      <c r="G39" s="15">
        <v>444</v>
      </c>
      <c r="H39" s="15">
        <v>428</v>
      </c>
      <c r="I39" s="15">
        <v>147</v>
      </c>
      <c r="J39" s="15">
        <v>61</v>
      </c>
      <c r="K39" s="15">
        <v>28</v>
      </c>
      <c r="L39" s="15">
        <v>22</v>
      </c>
    </row>
    <row r="40" spans="1:12" x14ac:dyDescent="0.35">
      <c r="A40" s="4" t="s">
        <v>108</v>
      </c>
      <c r="B40" s="15">
        <v>60</v>
      </c>
      <c r="C40" s="15">
        <v>75</v>
      </c>
      <c r="D40" s="15">
        <v>38</v>
      </c>
      <c r="E40" s="15">
        <v>26</v>
      </c>
      <c r="F40" s="15">
        <v>108</v>
      </c>
      <c r="G40" s="15">
        <v>192</v>
      </c>
      <c r="H40" s="15">
        <v>189</v>
      </c>
      <c r="I40" s="15">
        <v>63</v>
      </c>
      <c r="J40" s="15">
        <v>29</v>
      </c>
      <c r="K40" s="15">
        <v>11</v>
      </c>
      <c r="L40" s="15">
        <v>12</v>
      </c>
    </row>
    <row r="41" spans="1:12" x14ac:dyDescent="0.35">
      <c r="A41" s="4" t="s">
        <v>109</v>
      </c>
      <c r="B41" s="15">
        <v>6.6000000000000003E-2</v>
      </c>
      <c r="C41" s="15">
        <v>2.5000000000000001E-2</v>
      </c>
      <c r="D41" s="15">
        <v>0.104</v>
      </c>
      <c r="E41" s="15">
        <v>0.37</v>
      </c>
      <c r="F41" s="15">
        <v>0.45200000000000001</v>
      </c>
      <c r="G41" s="15">
        <v>0.54500000000000004</v>
      </c>
      <c r="H41" s="15">
        <v>1.44</v>
      </c>
      <c r="I41" s="15">
        <v>7.2779999999999996</v>
      </c>
      <c r="J41" s="15">
        <v>10.321</v>
      </c>
      <c r="K41" s="15">
        <v>32.081000000000003</v>
      </c>
      <c r="L41" s="15">
        <v>20.262</v>
      </c>
    </row>
    <row r="42" spans="1:12" x14ac:dyDescent="0.35">
      <c r="A42" s="4" t="s">
        <v>173</v>
      </c>
      <c r="B42" s="15">
        <v>4</v>
      </c>
      <c r="C42" s="15">
        <v>7</v>
      </c>
      <c r="D42" s="15">
        <v>12</v>
      </c>
      <c r="E42" s="15">
        <v>18</v>
      </c>
      <c r="F42" s="15">
        <v>23</v>
      </c>
      <c r="G42" s="15">
        <v>28</v>
      </c>
      <c r="H42" s="15">
        <v>32</v>
      </c>
      <c r="I42" s="15">
        <v>37</v>
      </c>
      <c r="J42" s="15">
        <v>42</v>
      </c>
      <c r="K42" s="15">
        <v>48</v>
      </c>
      <c r="L42" s="15">
        <v>54</v>
      </c>
    </row>
    <row r="44" spans="1:12" x14ac:dyDescent="0.35">
      <c r="B44" t="s">
        <v>180</v>
      </c>
      <c r="C44" t="s">
        <v>181</v>
      </c>
      <c r="D44" t="s">
        <v>182</v>
      </c>
      <c r="E44" t="s">
        <v>183</v>
      </c>
      <c r="F44" t="s">
        <v>184</v>
      </c>
      <c r="H44" t="s">
        <v>204</v>
      </c>
      <c r="I44" t="s">
        <v>205</v>
      </c>
      <c r="J44" t="s">
        <v>206</v>
      </c>
      <c r="K44" t="s">
        <v>207</v>
      </c>
      <c r="L44" t="s">
        <v>208</v>
      </c>
    </row>
    <row r="45" spans="1:12" x14ac:dyDescent="0.35">
      <c r="B45">
        <f>(B41*B39+C41*C39+D41*D39)/SUM(B39:D39)</f>
        <v>5.1799656061908859E-2</v>
      </c>
      <c r="C45">
        <f>(E41*E39+F41*F39)/SUM(E39:F39)</f>
        <v>0.43056534954407294</v>
      </c>
      <c r="D45">
        <f>(G41*G39+H41*H39)/SUM(G39:H39)</f>
        <v>0.98428899082568799</v>
      </c>
      <c r="E45">
        <f>I41</f>
        <v>7.2779999999999996</v>
      </c>
      <c r="F45">
        <f>(J41*J39+K41*K39+L41*L39)/SUM(J39:L39)</f>
        <v>17.780297297297299</v>
      </c>
      <c r="H45">
        <f>(B41*B39+C41*C39+D41*D39+E41*E39)/SUM(B39:E39)</f>
        <v>7.3709367493995204E-2</v>
      </c>
      <c r="I45">
        <f>(F41*F39+G41*G39)/SUM(F39:G39)</f>
        <v>0.51210480349344978</v>
      </c>
      <c r="J45">
        <f>(H41*H39+I41*I39)/SUM(H39:I39)</f>
        <v>2.9324973913043477</v>
      </c>
      <c r="K45">
        <f>(J41*J39+K41*K39)/SUM(J39:K39)</f>
        <v>17.166842696629214</v>
      </c>
      <c r="L45">
        <f>L41</f>
        <v>20.262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4"/>
  <sheetViews>
    <sheetView showGridLines="0" tabSelected="1" workbookViewId="0">
      <pane xSplit="1" ySplit="5" topLeftCell="B33" activePane="bottomRight" state="frozen"/>
      <selection pane="topRight"/>
      <selection pane="bottomLeft"/>
      <selection pane="bottomRight" activeCell="N35" sqref="N35"/>
    </sheetView>
  </sheetViews>
  <sheetFormatPr defaultRowHeight="14.5" x14ac:dyDescent="0.35"/>
  <cols>
    <col min="1" max="1" width="30" customWidth="1"/>
    <col min="2" max="11" width="9" customWidth="1"/>
  </cols>
  <sheetData>
    <row r="1" spans="1:11" ht="16.5" x14ac:dyDescent="0.35">
      <c r="A1" s="19" t="s">
        <v>159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5">
      <c r="A2" s="18" t="s">
        <v>33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35">
      <c r="A3" s="16" t="s">
        <v>34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5" spans="1:11" x14ac:dyDescent="0.35">
      <c r="A5" s="6" t="s">
        <v>160</v>
      </c>
      <c r="B5" s="7" t="s">
        <v>143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161</v>
      </c>
    </row>
    <row r="6" spans="1:11" x14ac:dyDescent="0.35">
      <c r="A6" s="8" t="s">
        <v>58</v>
      </c>
      <c r="B6" s="9"/>
      <c r="C6" s="9"/>
      <c r="D6" s="9"/>
      <c r="E6" s="9"/>
      <c r="F6" s="9"/>
      <c r="G6" s="10">
        <v>1.1000000000000001</v>
      </c>
      <c r="H6" s="10">
        <v>0.7</v>
      </c>
      <c r="I6" s="10">
        <v>4.3</v>
      </c>
      <c r="J6" s="10">
        <v>8.1</v>
      </c>
      <c r="K6" s="10">
        <v>2.6</v>
      </c>
    </row>
    <row r="7" spans="1:11" x14ac:dyDescent="0.35">
      <c r="A7" s="8" t="s">
        <v>162</v>
      </c>
      <c r="B7" s="9"/>
      <c r="C7" s="9"/>
      <c r="D7" s="9"/>
      <c r="E7" s="10">
        <v>0.5</v>
      </c>
      <c r="F7" s="9" t="s">
        <v>61</v>
      </c>
      <c r="G7" s="10">
        <v>0.5</v>
      </c>
      <c r="H7" s="10">
        <v>0.9</v>
      </c>
      <c r="I7" s="10">
        <v>0.3</v>
      </c>
      <c r="J7" s="10">
        <v>0.2</v>
      </c>
      <c r="K7" s="10">
        <v>0.6</v>
      </c>
    </row>
    <row r="8" spans="1:11" x14ac:dyDescent="0.35">
      <c r="A8" s="8" t="s">
        <v>59</v>
      </c>
      <c r="B8" s="9"/>
      <c r="C8" s="10">
        <v>22.5</v>
      </c>
      <c r="D8" s="10">
        <v>11.9</v>
      </c>
      <c r="E8" s="10">
        <v>13.6</v>
      </c>
      <c r="F8" s="10">
        <v>32.700000000000003</v>
      </c>
      <c r="G8" s="10">
        <v>31.4</v>
      </c>
      <c r="H8" s="10">
        <v>48.9</v>
      </c>
      <c r="I8" s="10">
        <v>46.5</v>
      </c>
      <c r="J8" s="10">
        <v>47.9</v>
      </c>
      <c r="K8" s="10">
        <v>31</v>
      </c>
    </row>
    <row r="9" spans="1:11" x14ac:dyDescent="0.35">
      <c r="A9" s="2" t="s">
        <v>114</v>
      </c>
      <c r="B9" s="11"/>
      <c r="C9" s="12">
        <v>11.7</v>
      </c>
      <c r="D9" s="11"/>
      <c r="E9" s="11"/>
      <c r="F9" s="12">
        <v>5.8</v>
      </c>
      <c r="G9" s="12">
        <v>0.9</v>
      </c>
      <c r="H9" s="12">
        <v>10.3</v>
      </c>
      <c r="I9" s="12">
        <v>12</v>
      </c>
      <c r="J9" s="12">
        <v>12</v>
      </c>
      <c r="K9" s="12">
        <v>10.6</v>
      </c>
    </row>
    <row r="10" spans="1:11" x14ac:dyDescent="0.35">
      <c r="A10" s="2" t="s">
        <v>115</v>
      </c>
      <c r="B10" s="11"/>
      <c r="C10" s="11"/>
      <c r="D10" s="11"/>
      <c r="E10" s="11"/>
      <c r="F10" s="12">
        <v>0.6</v>
      </c>
      <c r="G10" s="12">
        <v>1.8</v>
      </c>
      <c r="H10" s="12">
        <v>2.7</v>
      </c>
      <c r="I10" s="12">
        <v>4.9000000000000004</v>
      </c>
      <c r="J10" s="12">
        <v>9.8000000000000007</v>
      </c>
      <c r="K10" s="11"/>
    </row>
    <row r="11" spans="1:11" x14ac:dyDescent="0.35">
      <c r="A11" s="2" t="s">
        <v>163</v>
      </c>
      <c r="B11" s="11"/>
      <c r="C11" s="11"/>
      <c r="D11" s="11"/>
      <c r="E11" s="12">
        <v>6.2</v>
      </c>
      <c r="F11" s="12">
        <v>1.2</v>
      </c>
      <c r="G11" s="12">
        <v>0.1</v>
      </c>
      <c r="H11" s="12">
        <v>1.2</v>
      </c>
      <c r="I11" s="12">
        <v>0.4</v>
      </c>
      <c r="J11" s="11" t="s">
        <v>61</v>
      </c>
      <c r="K11" s="11"/>
    </row>
    <row r="12" spans="1:11" x14ac:dyDescent="0.35">
      <c r="A12" s="2" t="s">
        <v>164</v>
      </c>
      <c r="B12" s="11"/>
      <c r="C12" s="11"/>
      <c r="D12" s="11"/>
      <c r="E12" s="11"/>
      <c r="F12" s="12">
        <v>3.6</v>
      </c>
      <c r="G12" s="12">
        <v>0.4</v>
      </c>
      <c r="H12" s="12">
        <v>1</v>
      </c>
      <c r="I12" s="12">
        <v>1</v>
      </c>
      <c r="J12" s="12">
        <v>0.2</v>
      </c>
      <c r="K12" s="11"/>
    </row>
    <row r="13" spans="1:11" x14ac:dyDescent="0.35">
      <c r="A13" s="2" t="s">
        <v>165</v>
      </c>
      <c r="B13" s="11"/>
      <c r="C13" s="11"/>
      <c r="D13" s="11"/>
      <c r="E13" s="11"/>
      <c r="F13" s="12">
        <v>0.6</v>
      </c>
      <c r="G13" s="12">
        <v>1.7</v>
      </c>
      <c r="H13" s="12">
        <v>1.3</v>
      </c>
      <c r="I13" s="12">
        <v>0.2</v>
      </c>
      <c r="J13" s="11"/>
      <c r="K13" s="11"/>
    </row>
    <row r="14" spans="1:11" x14ac:dyDescent="0.35">
      <c r="A14" s="2" t="s">
        <v>117</v>
      </c>
      <c r="B14" s="11"/>
      <c r="C14" s="11"/>
      <c r="D14" s="11"/>
      <c r="E14" s="11"/>
      <c r="F14" s="12">
        <v>2</v>
      </c>
      <c r="G14" s="12">
        <v>1</v>
      </c>
      <c r="H14" s="12">
        <v>3.3</v>
      </c>
      <c r="I14" s="12">
        <v>0.9</v>
      </c>
      <c r="J14" s="12">
        <v>0.2</v>
      </c>
      <c r="K14" s="11"/>
    </row>
    <row r="15" spans="1:11" x14ac:dyDescent="0.35">
      <c r="A15" s="2" t="s">
        <v>166</v>
      </c>
      <c r="B15" s="11"/>
      <c r="C15" s="11"/>
      <c r="D15" s="11"/>
      <c r="E15" s="11"/>
      <c r="F15" s="12">
        <v>0.5</v>
      </c>
      <c r="G15" s="12">
        <v>3.1</v>
      </c>
      <c r="H15" s="12">
        <v>3.5</v>
      </c>
      <c r="I15" s="12">
        <v>1.1000000000000001</v>
      </c>
      <c r="J15" s="12">
        <v>0.1</v>
      </c>
      <c r="K15" s="12">
        <v>1.5</v>
      </c>
    </row>
    <row r="16" spans="1:11" x14ac:dyDescent="0.35">
      <c r="A16" s="2" t="s">
        <v>167</v>
      </c>
      <c r="B16" s="11"/>
      <c r="C16" s="11"/>
      <c r="D16" s="11"/>
      <c r="E16" s="11"/>
      <c r="F16" s="12">
        <v>0.5</v>
      </c>
      <c r="G16" s="12">
        <v>0.3</v>
      </c>
      <c r="H16" s="12">
        <v>2.8</v>
      </c>
      <c r="I16" s="12">
        <v>0.9</v>
      </c>
      <c r="J16" s="12">
        <v>0.2</v>
      </c>
      <c r="K16" s="12">
        <v>0.3</v>
      </c>
    </row>
    <row r="17" spans="1:11" x14ac:dyDescent="0.35">
      <c r="A17" s="2" t="s">
        <v>62</v>
      </c>
      <c r="B17" s="11"/>
      <c r="C17" s="12">
        <v>10.8</v>
      </c>
      <c r="D17" s="12">
        <v>11.9</v>
      </c>
      <c r="E17" s="12">
        <v>7.4</v>
      </c>
      <c r="F17" s="12">
        <v>17.899999999999999</v>
      </c>
      <c r="G17" s="12">
        <v>22.1</v>
      </c>
      <c r="H17" s="12">
        <v>22.8</v>
      </c>
      <c r="I17" s="12">
        <v>25.1</v>
      </c>
      <c r="J17" s="12">
        <v>25.4</v>
      </c>
      <c r="K17" s="12">
        <v>18.600000000000001</v>
      </c>
    </row>
    <row r="18" spans="1:11" x14ac:dyDescent="0.35">
      <c r="A18" s="8" t="s">
        <v>63</v>
      </c>
      <c r="B18" s="10">
        <v>100</v>
      </c>
      <c r="C18" s="10">
        <v>61</v>
      </c>
      <c r="D18" s="10">
        <v>61.8</v>
      </c>
      <c r="E18" s="10">
        <v>50.8</v>
      </c>
      <c r="F18" s="10">
        <v>32.299999999999997</v>
      </c>
      <c r="G18" s="10">
        <v>37.700000000000003</v>
      </c>
      <c r="H18" s="10">
        <v>20.7</v>
      </c>
      <c r="I18" s="10">
        <v>15.4</v>
      </c>
      <c r="J18" s="10">
        <v>8.6</v>
      </c>
      <c r="K18" s="10">
        <v>5.5</v>
      </c>
    </row>
    <row r="19" spans="1:11" x14ac:dyDescent="0.35">
      <c r="A19" s="2" t="s">
        <v>118</v>
      </c>
      <c r="B19" s="11"/>
      <c r="C19" s="12">
        <v>32.700000000000003</v>
      </c>
      <c r="D19" s="12">
        <v>13.6</v>
      </c>
      <c r="E19" s="12">
        <v>31.5</v>
      </c>
      <c r="F19" s="12">
        <v>22.1</v>
      </c>
      <c r="G19" s="12">
        <v>25.5</v>
      </c>
      <c r="H19" s="12">
        <v>14.2</v>
      </c>
      <c r="I19" s="12">
        <v>13.3</v>
      </c>
      <c r="J19" s="12">
        <v>8.4</v>
      </c>
      <c r="K19" s="12">
        <v>5.4</v>
      </c>
    </row>
    <row r="20" spans="1:11" x14ac:dyDescent="0.35">
      <c r="A20" s="5" t="s">
        <v>168</v>
      </c>
      <c r="B20" s="13"/>
      <c r="C20" s="14">
        <v>1.7</v>
      </c>
      <c r="D20" s="13"/>
      <c r="E20" s="14">
        <v>2</v>
      </c>
      <c r="F20" s="14">
        <v>0.6</v>
      </c>
      <c r="G20" s="14">
        <v>1.2</v>
      </c>
      <c r="H20" s="14">
        <v>1.2</v>
      </c>
      <c r="I20" s="14">
        <v>2.4</v>
      </c>
      <c r="J20" s="14">
        <v>2.5</v>
      </c>
      <c r="K20" s="14">
        <v>1.6</v>
      </c>
    </row>
    <row r="21" spans="1:11" x14ac:dyDescent="0.35">
      <c r="A21" s="5" t="s">
        <v>169</v>
      </c>
      <c r="B21" s="13"/>
      <c r="C21" s="14">
        <v>14.7</v>
      </c>
      <c r="D21" s="14">
        <v>0.8</v>
      </c>
      <c r="E21" s="14">
        <v>1.8</v>
      </c>
      <c r="F21" s="14">
        <v>0.7</v>
      </c>
      <c r="G21" s="14">
        <v>2.4</v>
      </c>
      <c r="H21" s="14">
        <v>2.2999999999999998</v>
      </c>
      <c r="I21" s="14">
        <v>1.4</v>
      </c>
      <c r="J21" s="14">
        <v>0.6</v>
      </c>
      <c r="K21" s="14">
        <v>0.6</v>
      </c>
    </row>
    <row r="22" spans="1:11" x14ac:dyDescent="0.35">
      <c r="A22" s="5" t="s">
        <v>119</v>
      </c>
      <c r="B22" s="13"/>
      <c r="C22" s="14">
        <v>2.2000000000000002</v>
      </c>
      <c r="D22" s="14">
        <v>3.6</v>
      </c>
      <c r="E22" s="14">
        <v>15.3</v>
      </c>
      <c r="F22" s="14">
        <v>12.9</v>
      </c>
      <c r="G22" s="14">
        <v>11.9</v>
      </c>
      <c r="H22" s="14">
        <v>5.3</v>
      </c>
      <c r="I22" s="14">
        <v>3.4</v>
      </c>
      <c r="J22" s="14">
        <v>0.3</v>
      </c>
      <c r="K22" s="13" t="s">
        <v>61</v>
      </c>
    </row>
    <row r="23" spans="1:11" x14ac:dyDescent="0.35">
      <c r="A23" s="5" t="s">
        <v>121</v>
      </c>
      <c r="B23" s="13"/>
      <c r="C23" s="14">
        <v>3.8</v>
      </c>
      <c r="D23" s="14">
        <v>5</v>
      </c>
      <c r="E23" s="14">
        <v>1.5</v>
      </c>
      <c r="F23" s="14">
        <v>1.6</v>
      </c>
      <c r="G23" s="14">
        <v>4.2</v>
      </c>
      <c r="H23" s="14">
        <v>2.1</v>
      </c>
      <c r="I23" s="14">
        <v>1.4</v>
      </c>
      <c r="J23" s="14">
        <v>2.8</v>
      </c>
      <c r="K23" s="14">
        <v>1.3</v>
      </c>
    </row>
    <row r="24" spans="1:11" x14ac:dyDescent="0.35">
      <c r="A24" s="5" t="s">
        <v>122</v>
      </c>
      <c r="B24" s="13"/>
      <c r="C24" s="13"/>
      <c r="D24" s="13"/>
      <c r="E24" s="14">
        <v>8.5</v>
      </c>
      <c r="F24" s="14">
        <v>4.8</v>
      </c>
      <c r="G24" s="14">
        <v>3.8</v>
      </c>
      <c r="H24" s="14">
        <v>1.9</v>
      </c>
      <c r="I24" s="14">
        <v>3.1</v>
      </c>
      <c r="J24" s="14">
        <v>2</v>
      </c>
      <c r="K24" s="13"/>
    </row>
    <row r="25" spans="1:11" x14ac:dyDescent="0.35">
      <c r="A25" s="5" t="s">
        <v>123</v>
      </c>
      <c r="B25" s="13"/>
      <c r="C25" s="14">
        <v>10.3</v>
      </c>
      <c r="D25" s="14">
        <v>4.2</v>
      </c>
      <c r="E25" s="14">
        <v>2.4</v>
      </c>
      <c r="F25" s="14">
        <v>1.5</v>
      </c>
      <c r="G25" s="14">
        <v>2</v>
      </c>
      <c r="H25" s="14">
        <v>1.4</v>
      </c>
      <c r="I25" s="14">
        <v>1.6</v>
      </c>
      <c r="J25" s="14">
        <v>0.2</v>
      </c>
      <c r="K25" s="14">
        <v>1.9</v>
      </c>
    </row>
    <row r="26" spans="1:11" x14ac:dyDescent="0.35">
      <c r="A26" s="2" t="s">
        <v>64</v>
      </c>
      <c r="B26" s="12">
        <v>41.4</v>
      </c>
      <c r="C26" s="12">
        <v>9.1</v>
      </c>
      <c r="D26" s="12">
        <v>47.5</v>
      </c>
      <c r="E26" s="12">
        <v>14.7</v>
      </c>
      <c r="F26" s="12">
        <v>5.8</v>
      </c>
      <c r="G26" s="12">
        <v>8.6</v>
      </c>
      <c r="H26" s="12">
        <v>5.7</v>
      </c>
      <c r="I26" s="12">
        <v>1.6</v>
      </c>
      <c r="J26" s="12">
        <v>0.1</v>
      </c>
      <c r="K26" s="11"/>
    </row>
    <row r="27" spans="1:11" x14ac:dyDescent="0.35">
      <c r="A27" s="5" t="s">
        <v>148</v>
      </c>
      <c r="B27" s="14">
        <v>41.4</v>
      </c>
      <c r="C27" s="14">
        <v>9.1</v>
      </c>
      <c r="D27" s="14">
        <v>12</v>
      </c>
      <c r="E27" s="13"/>
      <c r="F27" s="14">
        <v>3.3</v>
      </c>
      <c r="G27" s="14">
        <v>7.1</v>
      </c>
      <c r="H27" s="14">
        <v>2.5</v>
      </c>
      <c r="I27" s="14">
        <v>0.7</v>
      </c>
      <c r="J27" s="14">
        <v>0.1</v>
      </c>
      <c r="K27" s="13"/>
    </row>
    <row r="28" spans="1:11" x14ac:dyDescent="0.35">
      <c r="A28" s="5" t="s">
        <v>71</v>
      </c>
      <c r="B28" s="13"/>
      <c r="C28" s="13"/>
      <c r="D28" s="14">
        <v>31.8</v>
      </c>
      <c r="E28" s="13"/>
      <c r="F28" s="13"/>
      <c r="G28" s="14">
        <v>0.6</v>
      </c>
      <c r="H28" s="14">
        <v>2</v>
      </c>
      <c r="I28" s="14">
        <v>0.7</v>
      </c>
      <c r="J28" s="13"/>
      <c r="K28" s="13"/>
    </row>
    <row r="29" spans="1:11" x14ac:dyDescent="0.35">
      <c r="A29" s="5" t="s">
        <v>74</v>
      </c>
      <c r="B29" s="13"/>
      <c r="C29" s="13"/>
      <c r="D29" s="14">
        <v>3.6</v>
      </c>
      <c r="E29" s="14">
        <v>14.7</v>
      </c>
      <c r="F29" s="14">
        <v>2.6</v>
      </c>
      <c r="G29" s="14">
        <v>0.8</v>
      </c>
      <c r="H29" s="14">
        <v>1.2</v>
      </c>
      <c r="I29" s="14">
        <v>0.2</v>
      </c>
      <c r="J29" s="13"/>
      <c r="K29" s="13"/>
    </row>
    <row r="30" spans="1:11" x14ac:dyDescent="0.35">
      <c r="A30" s="2" t="s">
        <v>75</v>
      </c>
      <c r="B30" s="12">
        <v>58.6</v>
      </c>
      <c r="C30" s="12">
        <v>19.2</v>
      </c>
      <c r="D30" s="12">
        <v>0.7</v>
      </c>
      <c r="E30" s="12">
        <v>4.5999999999999996</v>
      </c>
      <c r="F30" s="12">
        <v>4.4000000000000004</v>
      </c>
      <c r="G30" s="12">
        <v>3.6</v>
      </c>
      <c r="H30" s="12">
        <v>0.8</v>
      </c>
      <c r="I30" s="12">
        <v>0.5</v>
      </c>
      <c r="J30" s="12">
        <v>0.1</v>
      </c>
      <c r="K30" s="12">
        <v>0.1</v>
      </c>
    </row>
    <row r="31" spans="1:11" x14ac:dyDescent="0.35">
      <c r="A31" s="8" t="s">
        <v>76</v>
      </c>
      <c r="B31" s="9"/>
      <c r="C31" s="10">
        <v>0.2</v>
      </c>
      <c r="D31" s="9"/>
      <c r="E31" s="9"/>
      <c r="F31" s="10">
        <v>0.1</v>
      </c>
      <c r="G31" s="10">
        <v>0.3</v>
      </c>
      <c r="H31" s="10">
        <v>0.6</v>
      </c>
      <c r="I31" s="10">
        <v>0.3</v>
      </c>
      <c r="J31" s="10">
        <v>1.8</v>
      </c>
      <c r="K31" s="9"/>
    </row>
    <row r="32" spans="1:11" x14ac:dyDescent="0.35">
      <c r="A32" s="2" t="s">
        <v>170</v>
      </c>
      <c r="B32" s="11"/>
      <c r="C32" s="12">
        <v>0.2</v>
      </c>
      <c r="D32" s="11"/>
      <c r="E32" s="11"/>
      <c r="F32" s="12">
        <v>0.1</v>
      </c>
      <c r="G32" s="12">
        <v>0.3</v>
      </c>
      <c r="H32" s="12">
        <v>0.6</v>
      </c>
      <c r="I32" s="12">
        <v>0.3</v>
      </c>
      <c r="J32" s="12">
        <v>1.8</v>
      </c>
      <c r="K32" s="11"/>
    </row>
    <row r="33" spans="1:12" x14ac:dyDescent="0.35">
      <c r="A33" s="8" t="s">
        <v>171</v>
      </c>
      <c r="B33" s="9"/>
      <c r="C33" s="9"/>
      <c r="D33" s="9"/>
      <c r="E33" s="9"/>
      <c r="F33" s="10">
        <v>0.2</v>
      </c>
      <c r="G33" s="10">
        <v>0.7</v>
      </c>
      <c r="H33" s="10">
        <v>1.4</v>
      </c>
      <c r="I33" s="10">
        <v>0.3</v>
      </c>
      <c r="J33" s="9"/>
      <c r="K33" s="9"/>
    </row>
    <row r="34" spans="1:12" x14ac:dyDescent="0.35">
      <c r="A34" s="2" t="s">
        <v>172</v>
      </c>
      <c r="B34" s="11"/>
      <c r="C34" s="11"/>
      <c r="D34" s="11"/>
      <c r="E34" s="11"/>
      <c r="F34" s="12">
        <v>0.2</v>
      </c>
      <c r="G34" s="12">
        <v>0.7</v>
      </c>
      <c r="H34" s="12">
        <v>1.4</v>
      </c>
      <c r="I34" s="12">
        <v>0.3</v>
      </c>
      <c r="J34" s="11"/>
      <c r="K34" s="11"/>
    </row>
    <row r="35" spans="1:12" x14ac:dyDescent="0.35">
      <c r="A35" s="8" t="s">
        <v>105</v>
      </c>
      <c r="B35" s="9"/>
      <c r="C35" s="10">
        <v>0.9</v>
      </c>
      <c r="D35" s="10">
        <v>0.6</v>
      </c>
      <c r="E35" s="10">
        <v>1.7</v>
      </c>
      <c r="F35" s="10">
        <v>10.199999999999999</v>
      </c>
      <c r="G35" s="10">
        <v>8.1999999999999993</v>
      </c>
      <c r="H35" s="10">
        <v>10.199999999999999</v>
      </c>
      <c r="I35" s="10">
        <v>17.100000000000001</v>
      </c>
      <c r="J35" s="10">
        <v>22.7</v>
      </c>
      <c r="K35" s="10">
        <v>34.5</v>
      </c>
    </row>
    <row r="36" spans="1:12" x14ac:dyDescent="0.35">
      <c r="A36" s="8" t="s">
        <v>106</v>
      </c>
      <c r="B36" s="9"/>
      <c r="C36" s="10">
        <v>15.4</v>
      </c>
      <c r="D36" s="10">
        <v>25.7</v>
      </c>
      <c r="E36" s="10">
        <v>33.4</v>
      </c>
      <c r="F36" s="10">
        <v>24.5</v>
      </c>
      <c r="G36" s="10">
        <v>20.100000000000001</v>
      </c>
      <c r="H36" s="10">
        <v>16.600000000000001</v>
      </c>
      <c r="I36" s="10">
        <v>15.8</v>
      </c>
      <c r="J36" s="10">
        <v>10.7</v>
      </c>
      <c r="K36" s="10">
        <v>25.8</v>
      </c>
    </row>
    <row r="38" spans="1:12" x14ac:dyDescent="0.35">
      <c r="A38" s="4" t="s">
        <v>107</v>
      </c>
      <c r="B38" s="15">
        <v>39</v>
      </c>
      <c r="C38" s="15">
        <v>77</v>
      </c>
      <c r="D38" s="15">
        <v>21</v>
      </c>
      <c r="E38" s="15">
        <v>23</v>
      </c>
      <c r="F38" s="15">
        <v>63</v>
      </c>
      <c r="G38" s="15">
        <v>186</v>
      </c>
      <c r="H38" s="15">
        <v>337</v>
      </c>
      <c r="I38" s="15">
        <v>191</v>
      </c>
      <c r="J38" s="15">
        <v>60</v>
      </c>
      <c r="K38" s="15">
        <v>20</v>
      </c>
    </row>
    <row r="39" spans="1:12" x14ac:dyDescent="0.35">
      <c r="A39" s="4" t="s">
        <v>108</v>
      </c>
      <c r="B39" s="15">
        <v>22</v>
      </c>
      <c r="C39" s="15">
        <v>25</v>
      </c>
      <c r="D39" s="15">
        <v>6</v>
      </c>
      <c r="E39" s="15">
        <v>9</v>
      </c>
      <c r="F39" s="15">
        <v>16</v>
      </c>
      <c r="G39" s="15">
        <v>63</v>
      </c>
      <c r="H39" s="15">
        <v>108</v>
      </c>
      <c r="I39" s="15">
        <v>62</v>
      </c>
      <c r="J39" s="15">
        <v>20</v>
      </c>
      <c r="K39" s="15">
        <v>4</v>
      </c>
    </row>
    <row r="40" spans="1:12" x14ac:dyDescent="0.35">
      <c r="A40" s="4" t="s">
        <v>109</v>
      </c>
      <c r="B40" s="15">
        <v>1E-3</v>
      </c>
      <c r="C40" s="15">
        <v>2.1000000000000001E-2</v>
      </c>
      <c r="D40" s="15">
        <v>7.1999999999999995E-2</v>
      </c>
      <c r="E40" s="15">
        <v>0.10299999999999999</v>
      </c>
      <c r="F40" s="15">
        <v>0.23</v>
      </c>
      <c r="G40" s="15">
        <v>0.24099999999999999</v>
      </c>
      <c r="H40" s="15">
        <v>0.375</v>
      </c>
      <c r="I40" s="15">
        <v>0.56299999999999994</v>
      </c>
      <c r="J40" s="15">
        <v>0.95</v>
      </c>
      <c r="K40" s="15">
        <v>3.1659999999999999</v>
      </c>
    </row>
    <row r="41" spans="1:12" x14ac:dyDescent="0.35">
      <c r="A41" s="4" t="s">
        <v>173</v>
      </c>
      <c r="B41" s="15">
        <v>3</v>
      </c>
      <c r="C41" s="15">
        <v>8</v>
      </c>
      <c r="D41" s="15">
        <v>12</v>
      </c>
      <c r="E41" s="15">
        <v>18</v>
      </c>
      <c r="F41" s="15">
        <v>23</v>
      </c>
      <c r="G41" s="15">
        <v>28</v>
      </c>
      <c r="H41" s="15">
        <v>32</v>
      </c>
      <c r="I41" s="15">
        <v>37</v>
      </c>
      <c r="J41" s="15">
        <v>42</v>
      </c>
      <c r="K41" s="15">
        <v>48</v>
      </c>
    </row>
    <row r="43" spans="1:12" x14ac:dyDescent="0.35">
      <c r="B43" t="s">
        <v>179</v>
      </c>
      <c r="C43" t="s">
        <v>185</v>
      </c>
      <c r="D43" t="s">
        <v>186</v>
      </c>
      <c r="E43" t="s">
        <v>188</v>
      </c>
      <c r="F43" t="s">
        <v>187</v>
      </c>
      <c r="H43" t="s">
        <v>209</v>
      </c>
      <c r="I43" t="s">
        <v>210</v>
      </c>
      <c r="J43" t="s">
        <v>211</v>
      </c>
      <c r="K43" t="s">
        <v>212</v>
      </c>
      <c r="L43" t="s">
        <v>213</v>
      </c>
    </row>
    <row r="44" spans="1:12" x14ac:dyDescent="0.35">
      <c r="B44">
        <f>(B40*B38+C40*C38+D40*D38)/SUM(B38:D38)</f>
        <v>2.3124087591240874E-2</v>
      </c>
      <c r="C44">
        <f>(E40*E38+F40*F38)/SUM(E38:F38)</f>
        <v>0.19603488372093025</v>
      </c>
      <c r="D44">
        <f>(G40*G38+H40*H38)/SUM(G38:H38)</f>
        <v>0.3273441682600382</v>
      </c>
      <c r="E44">
        <f>(I40*I38+J40*J38)/SUM(I38:J38)</f>
        <v>0.65550996015936247</v>
      </c>
      <c r="F44">
        <f>K40</f>
        <v>3.1659999999999999</v>
      </c>
      <c r="H44">
        <f>(B40*B38+C40*C38+D40*D38+E40*E38)/SUM(B38:E38)</f>
        <v>3.4606249999999991E-2</v>
      </c>
      <c r="I44">
        <f>(F40*F38+G40*G38)/SUM(F38:G38)</f>
        <v>0.23821686746987952</v>
      </c>
      <c r="J44">
        <f>H40</f>
        <v>0.375</v>
      </c>
      <c r="K44">
        <f>(I40*I38+J40*J38)/SUM(I38:J38)</f>
        <v>0.65550996015936247</v>
      </c>
      <c r="L44">
        <f>K40</f>
        <v>3.1659999999999999</v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Atlantic cod</vt:lpstr>
      <vt:lpstr>Haddock</vt:lpstr>
      <vt:lpstr>Silver hake</vt:lpstr>
      <vt:lpstr>Yellowtail flounder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Leander Hoehne</cp:lastModifiedBy>
  <dcterms:created xsi:type="dcterms:W3CDTF">2026-08-18T21:19:06Z</dcterms:created>
  <dcterms:modified xsi:type="dcterms:W3CDTF">2026-08-21T17:38:53Z</dcterms:modified>
</cp:coreProperties>
</file>