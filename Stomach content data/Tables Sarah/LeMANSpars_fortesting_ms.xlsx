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929"/>
  <workbookPr autoCompressPictures="0"/>
  <bookViews>
    <workbookView xWindow="0" yWindow="0" windowWidth="25600" windowHeight="14800" activeTab="2"/>
  </bookViews>
  <sheets>
    <sheet name="LeMANS inputs" sheetId="1" r:id="rId1"/>
    <sheet name="just10_firsttry" sheetId="2" r:id="rId2"/>
    <sheet name="just10_newset_hydra_sim_GB" sheetId="7" r:id="rId3"/>
    <sheet name="just10_newset_hydra_sim_MAB" sheetId="9" r:id="rId4"/>
    <sheet name="biomass Atlantis newsimGB" sheetId="10" r:id="rId5"/>
    <sheet name="catch Atlantis newsimGB" sheetId="11" r:id="rId6"/>
    <sheet name="biomass Atlantis" sheetId="4" r:id="rId7"/>
    <sheet name="biomass SAs" sheetId="3" r:id="rId8"/>
    <sheet name="catch Atlantis" sheetId="5" r:id="rId9"/>
    <sheet name="Catch SAs" sheetId="6" r:id="rId10"/>
    <sheet name="Sheet2" sheetId="8" r:id="rId1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9" i="7" l="1"/>
  <c r="S33" i="7"/>
  <c r="R39" i="7"/>
  <c r="R33" i="7"/>
  <c r="Q33" i="7"/>
  <c r="D66" i="7"/>
  <c r="D67" i="7"/>
  <c r="C103" i="7"/>
  <c r="C109" i="7"/>
  <c r="C104" i="7"/>
  <c r="C108" i="7"/>
  <c r="CG26" i="11"/>
  <c r="CF26" i="11"/>
  <c r="CE26" i="11"/>
  <c r="CD26" i="11"/>
  <c r="CC26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CG24" i="11"/>
  <c r="CF24" i="11"/>
  <c r="CE24" i="11"/>
  <c r="CD24" i="11"/>
  <c r="CC24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I23" i="11"/>
  <c r="AJ23" i="11"/>
  <c r="AI37" i="11"/>
  <c r="AK37" i="11"/>
  <c r="CG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A22" i="11"/>
  <c r="CB22" i="11"/>
  <c r="CC22" i="11"/>
  <c r="CD22" i="11"/>
  <c r="CE22" i="11"/>
  <c r="CF22" i="11"/>
  <c r="AI36" i="11"/>
  <c r="AK36" i="11"/>
  <c r="CG48" i="11"/>
  <c r="CF48" i="11"/>
  <c r="CC48" i="11"/>
  <c r="CB48" i="11"/>
  <c r="BU48" i="11"/>
  <c r="BQ48" i="11"/>
  <c r="BP48" i="11"/>
  <c r="BM48" i="11"/>
  <c r="BL48" i="11"/>
  <c r="BE48" i="11"/>
  <c r="BA48" i="11"/>
  <c r="AZ48" i="11"/>
  <c r="AW48" i="11"/>
  <c r="AV48" i="11"/>
  <c r="AO48" i="11"/>
  <c r="AK48" i="11"/>
  <c r="AJ48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I19" i="11"/>
  <c r="AJ19" i="11"/>
  <c r="AI33" i="11"/>
  <c r="AK33" i="11"/>
  <c r="AK45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V55" i="10"/>
  <c r="V55" i="11"/>
  <c r="U55" i="10"/>
  <c r="U55" i="11"/>
  <c r="T55" i="10"/>
  <c r="T55" i="11"/>
  <c r="S55" i="10"/>
  <c r="S55" i="11"/>
  <c r="R55" i="10"/>
  <c r="R55" i="11"/>
  <c r="Q55" i="10"/>
  <c r="Q55" i="11"/>
  <c r="P55" i="10"/>
  <c r="P55" i="11"/>
  <c r="O55" i="10"/>
  <c r="O55" i="11"/>
  <c r="N55" i="10"/>
  <c r="N55" i="11"/>
  <c r="M55" i="10"/>
  <c r="M55" i="11"/>
  <c r="V54" i="10"/>
  <c r="V54" i="11"/>
  <c r="U54" i="10"/>
  <c r="U54" i="11"/>
  <c r="T54" i="10"/>
  <c r="T54" i="11"/>
  <c r="S54" i="10"/>
  <c r="S54" i="11"/>
  <c r="R54" i="10"/>
  <c r="R54" i="11"/>
  <c r="Q54" i="10"/>
  <c r="Q54" i="11"/>
  <c r="P54" i="10"/>
  <c r="P54" i="11"/>
  <c r="O54" i="10"/>
  <c r="O54" i="11"/>
  <c r="N54" i="10"/>
  <c r="N54" i="11"/>
  <c r="M54" i="10"/>
  <c r="M54" i="11"/>
  <c r="V53" i="10"/>
  <c r="V53" i="11"/>
  <c r="U53" i="10"/>
  <c r="U53" i="11"/>
  <c r="T53" i="10"/>
  <c r="T53" i="11"/>
  <c r="S53" i="10"/>
  <c r="S53" i="11"/>
  <c r="R53" i="10"/>
  <c r="R53" i="11"/>
  <c r="Q53" i="10"/>
  <c r="Q53" i="11"/>
  <c r="P53" i="10"/>
  <c r="P53" i="11"/>
  <c r="O53" i="10"/>
  <c r="O53" i="11"/>
  <c r="N53" i="10"/>
  <c r="N53" i="11"/>
  <c r="M53" i="10"/>
  <c r="M53" i="11"/>
  <c r="V52" i="10"/>
  <c r="V52" i="11"/>
  <c r="U52" i="10"/>
  <c r="U52" i="11"/>
  <c r="T52" i="10"/>
  <c r="T52" i="11"/>
  <c r="S52" i="10"/>
  <c r="S52" i="11"/>
  <c r="R52" i="10"/>
  <c r="R52" i="11"/>
  <c r="Q52" i="10"/>
  <c r="Q52" i="11"/>
  <c r="P52" i="10"/>
  <c r="P52" i="11"/>
  <c r="O52" i="10"/>
  <c r="O52" i="11"/>
  <c r="N52" i="10"/>
  <c r="N52" i="11"/>
  <c r="M52" i="10"/>
  <c r="M52" i="11"/>
  <c r="V51" i="10"/>
  <c r="V51" i="11"/>
  <c r="U51" i="10"/>
  <c r="U51" i="11"/>
  <c r="T51" i="10"/>
  <c r="T51" i="11"/>
  <c r="S51" i="10"/>
  <c r="S51" i="11"/>
  <c r="R51" i="10"/>
  <c r="R51" i="11"/>
  <c r="Q51" i="10"/>
  <c r="Q51" i="11"/>
  <c r="P51" i="10"/>
  <c r="P51" i="11"/>
  <c r="O51" i="10"/>
  <c r="O51" i="11"/>
  <c r="N51" i="10"/>
  <c r="N51" i="11"/>
  <c r="M51" i="10"/>
  <c r="M51" i="11"/>
  <c r="V50" i="10"/>
  <c r="V50" i="11"/>
  <c r="U50" i="10"/>
  <c r="U50" i="11"/>
  <c r="T50" i="10"/>
  <c r="T50" i="11"/>
  <c r="S50" i="10"/>
  <c r="S50" i="11"/>
  <c r="R50" i="10"/>
  <c r="R50" i="11"/>
  <c r="Q50" i="10"/>
  <c r="Q50" i="11"/>
  <c r="P50" i="10"/>
  <c r="P50" i="11"/>
  <c r="O50" i="10"/>
  <c r="O50" i="11"/>
  <c r="N50" i="10"/>
  <c r="N50" i="11"/>
  <c r="M50" i="10"/>
  <c r="M50" i="11"/>
  <c r="V49" i="10"/>
  <c r="V49" i="11"/>
  <c r="U49" i="10"/>
  <c r="U49" i="11"/>
  <c r="T49" i="10"/>
  <c r="T49" i="11"/>
  <c r="S49" i="10"/>
  <c r="S49" i="11"/>
  <c r="R49" i="10"/>
  <c r="R49" i="11"/>
  <c r="Q49" i="10"/>
  <c r="Q49" i="11"/>
  <c r="P49" i="10"/>
  <c r="P49" i="11"/>
  <c r="O49" i="10"/>
  <c r="O49" i="11"/>
  <c r="N49" i="10"/>
  <c r="N49" i="11"/>
  <c r="M49" i="10"/>
  <c r="M49" i="11"/>
  <c r="V48" i="10"/>
  <c r="V48" i="11"/>
  <c r="U48" i="10"/>
  <c r="U48" i="11"/>
  <c r="T48" i="10"/>
  <c r="T48" i="11"/>
  <c r="S48" i="10"/>
  <c r="S48" i="11"/>
  <c r="R48" i="10"/>
  <c r="R48" i="11"/>
  <c r="Q48" i="10"/>
  <c r="Q48" i="11"/>
  <c r="P48" i="10"/>
  <c r="P48" i="11"/>
  <c r="O48" i="10"/>
  <c r="O48" i="11"/>
  <c r="N48" i="10"/>
  <c r="N48" i="11"/>
  <c r="M48" i="10"/>
  <c r="M48" i="11"/>
  <c r="V47" i="10"/>
  <c r="V47" i="11"/>
  <c r="U47" i="10"/>
  <c r="U47" i="11"/>
  <c r="T47" i="10"/>
  <c r="T47" i="11"/>
  <c r="S47" i="10"/>
  <c r="S47" i="11"/>
  <c r="R47" i="10"/>
  <c r="R47" i="11"/>
  <c r="Q47" i="10"/>
  <c r="Q47" i="11"/>
  <c r="P47" i="10"/>
  <c r="P47" i="11"/>
  <c r="O47" i="10"/>
  <c r="O47" i="11"/>
  <c r="N47" i="10"/>
  <c r="N47" i="11"/>
  <c r="M47" i="10"/>
  <c r="M47" i="11"/>
  <c r="V46" i="10"/>
  <c r="V46" i="11"/>
  <c r="U46" i="10"/>
  <c r="U46" i="11"/>
  <c r="T46" i="10"/>
  <c r="T46" i="11"/>
  <c r="S46" i="10"/>
  <c r="S46" i="11"/>
  <c r="R46" i="10"/>
  <c r="R46" i="11"/>
  <c r="Q46" i="10"/>
  <c r="Q46" i="11"/>
  <c r="P46" i="10"/>
  <c r="P46" i="11"/>
  <c r="O46" i="10"/>
  <c r="O46" i="11"/>
  <c r="N46" i="10"/>
  <c r="N46" i="11"/>
  <c r="M46" i="10"/>
  <c r="M46" i="11"/>
  <c r="V45" i="10"/>
  <c r="V45" i="11"/>
  <c r="U45" i="10"/>
  <c r="U45" i="11"/>
  <c r="T45" i="10"/>
  <c r="T45" i="11"/>
  <c r="S45" i="10"/>
  <c r="S45" i="11"/>
  <c r="R45" i="10"/>
  <c r="R45" i="11"/>
  <c r="Q45" i="10"/>
  <c r="Q45" i="11"/>
  <c r="P45" i="10"/>
  <c r="P45" i="11"/>
  <c r="O45" i="10"/>
  <c r="O45" i="11"/>
  <c r="N45" i="10"/>
  <c r="N45" i="11"/>
  <c r="M45" i="10"/>
  <c r="M45" i="11"/>
  <c r="V44" i="10"/>
  <c r="V44" i="11"/>
  <c r="U44" i="10"/>
  <c r="U44" i="11"/>
  <c r="T44" i="10"/>
  <c r="T44" i="11"/>
  <c r="S44" i="10"/>
  <c r="S44" i="11"/>
  <c r="R44" i="10"/>
  <c r="R44" i="11"/>
  <c r="Q44" i="10"/>
  <c r="Q44" i="11"/>
  <c r="P44" i="10"/>
  <c r="P44" i="11"/>
  <c r="O44" i="10"/>
  <c r="O44" i="11"/>
  <c r="N44" i="10"/>
  <c r="N44" i="11"/>
  <c r="M44" i="10"/>
  <c r="M44" i="11"/>
  <c r="V43" i="10"/>
  <c r="V43" i="11"/>
  <c r="U43" i="10"/>
  <c r="U43" i="11"/>
  <c r="T43" i="10"/>
  <c r="T43" i="11"/>
  <c r="S43" i="10"/>
  <c r="S43" i="11"/>
  <c r="R43" i="10"/>
  <c r="R43" i="11"/>
  <c r="Q43" i="10"/>
  <c r="Q43" i="11"/>
  <c r="P43" i="10"/>
  <c r="P43" i="11"/>
  <c r="O43" i="10"/>
  <c r="O43" i="11"/>
  <c r="N43" i="10"/>
  <c r="N43" i="11"/>
  <c r="M43" i="10"/>
  <c r="M43" i="11"/>
  <c r="V42" i="10"/>
  <c r="V42" i="11"/>
  <c r="U42" i="10"/>
  <c r="U42" i="11"/>
  <c r="T42" i="10"/>
  <c r="T42" i="11"/>
  <c r="S42" i="10"/>
  <c r="S42" i="11"/>
  <c r="R42" i="10"/>
  <c r="R42" i="11"/>
  <c r="Q42" i="10"/>
  <c r="Q42" i="11"/>
  <c r="P42" i="10"/>
  <c r="P42" i="11"/>
  <c r="O42" i="10"/>
  <c r="O42" i="11"/>
  <c r="N42" i="10"/>
  <c r="N42" i="11"/>
  <c r="M42" i="10"/>
  <c r="M42" i="11"/>
  <c r="V41" i="10"/>
  <c r="V41" i="11"/>
  <c r="U41" i="10"/>
  <c r="U41" i="11"/>
  <c r="T41" i="10"/>
  <c r="T41" i="11"/>
  <c r="S41" i="10"/>
  <c r="S41" i="11"/>
  <c r="R41" i="10"/>
  <c r="R41" i="11"/>
  <c r="Q41" i="10"/>
  <c r="Q41" i="11"/>
  <c r="P41" i="10"/>
  <c r="P41" i="11"/>
  <c r="O41" i="10"/>
  <c r="O41" i="11"/>
  <c r="N41" i="10"/>
  <c r="N41" i="11"/>
  <c r="M41" i="10"/>
  <c r="M41" i="11"/>
  <c r="V40" i="10"/>
  <c r="V40" i="11"/>
  <c r="U40" i="10"/>
  <c r="U40" i="11"/>
  <c r="T40" i="10"/>
  <c r="T40" i="11"/>
  <c r="S40" i="10"/>
  <c r="S40" i="11"/>
  <c r="R40" i="10"/>
  <c r="R40" i="11"/>
  <c r="Q40" i="10"/>
  <c r="Q40" i="11"/>
  <c r="P40" i="10"/>
  <c r="P40" i="11"/>
  <c r="O40" i="10"/>
  <c r="O40" i="11"/>
  <c r="N40" i="10"/>
  <c r="N40" i="11"/>
  <c r="M40" i="10"/>
  <c r="M40" i="11"/>
  <c r="V39" i="10"/>
  <c r="V39" i="11"/>
  <c r="U39" i="10"/>
  <c r="U39" i="11"/>
  <c r="T39" i="10"/>
  <c r="T39" i="11"/>
  <c r="S39" i="10"/>
  <c r="S39" i="11"/>
  <c r="R39" i="10"/>
  <c r="R39" i="11"/>
  <c r="Q39" i="10"/>
  <c r="Q39" i="11"/>
  <c r="P39" i="10"/>
  <c r="P39" i="11"/>
  <c r="O39" i="10"/>
  <c r="O39" i="11"/>
  <c r="N39" i="10"/>
  <c r="N39" i="11"/>
  <c r="M39" i="10"/>
  <c r="M39" i="11"/>
  <c r="V38" i="10"/>
  <c r="V38" i="11"/>
  <c r="U38" i="10"/>
  <c r="U38" i="11"/>
  <c r="T38" i="10"/>
  <c r="T38" i="11"/>
  <c r="S38" i="10"/>
  <c r="S38" i="11"/>
  <c r="R38" i="10"/>
  <c r="R38" i="11"/>
  <c r="Q38" i="10"/>
  <c r="Q38" i="11"/>
  <c r="P38" i="10"/>
  <c r="P38" i="11"/>
  <c r="O38" i="10"/>
  <c r="O38" i="11"/>
  <c r="N38" i="10"/>
  <c r="N38" i="11"/>
  <c r="M38" i="10"/>
  <c r="M38" i="11"/>
  <c r="V37" i="10"/>
  <c r="V37" i="11"/>
  <c r="U37" i="10"/>
  <c r="U37" i="11"/>
  <c r="T37" i="10"/>
  <c r="T37" i="11"/>
  <c r="S37" i="10"/>
  <c r="S37" i="11"/>
  <c r="R37" i="10"/>
  <c r="R37" i="11"/>
  <c r="Q37" i="10"/>
  <c r="Q37" i="11"/>
  <c r="P37" i="10"/>
  <c r="P37" i="11"/>
  <c r="O37" i="10"/>
  <c r="O37" i="11"/>
  <c r="N37" i="10"/>
  <c r="N37" i="11"/>
  <c r="M37" i="10"/>
  <c r="M37" i="11"/>
  <c r="V36" i="10"/>
  <c r="V36" i="11"/>
  <c r="U36" i="10"/>
  <c r="U36" i="11"/>
  <c r="T36" i="10"/>
  <c r="T36" i="11"/>
  <c r="S36" i="10"/>
  <c r="S36" i="11"/>
  <c r="R36" i="10"/>
  <c r="R36" i="11"/>
  <c r="Q36" i="10"/>
  <c r="Q36" i="11"/>
  <c r="P36" i="10"/>
  <c r="P36" i="11"/>
  <c r="O36" i="10"/>
  <c r="O36" i="11"/>
  <c r="N36" i="10"/>
  <c r="N36" i="11"/>
  <c r="M36" i="10"/>
  <c r="M36" i="11"/>
  <c r="V35" i="10"/>
  <c r="V35" i="11"/>
  <c r="U35" i="10"/>
  <c r="U35" i="11"/>
  <c r="T35" i="10"/>
  <c r="T35" i="11"/>
  <c r="S35" i="10"/>
  <c r="S35" i="11"/>
  <c r="R35" i="10"/>
  <c r="R35" i="11"/>
  <c r="Q35" i="10"/>
  <c r="Q35" i="11"/>
  <c r="P35" i="10"/>
  <c r="P35" i="11"/>
  <c r="O35" i="10"/>
  <c r="O35" i="11"/>
  <c r="N35" i="10"/>
  <c r="N35" i="11"/>
  <c r="M35" i="10"/>
  <c r="M35" i="11"/>
  <c r="V34" i="10"/>
  <c r="V34" i="11"/>
  <c r="U34" i="10"/>
  <c r="U34" i="11"/>
  <c r="T34" i="10"/>
  <c r="T34" i="11"/>
  <c r="S34" i="10"/>
  <c r="S34" i="11"/>
  <c r="R34" i="10"/>
  <c r="R34" i="11"/>
  <c r="Q34" i="10"/>
  <c r="Q34" i="11"/>
  <c r="P34" i="10"/>
  <c r="P34" i="11"/>
  <c r="O34" i="10"/>
  <c r="O34" i="11"/>
  <c r="N34" i="10"/>
  <c r="N34" i="11"/>
  <c r="M34" i="10"/>
  <c r="M34" i="11"/>
  <c r="V33" i="10"/>
  <c r="V33" i="11"/>
  <c r="U33" i="10"/>
  <c r="U33" i="11"/>
  <c r="T33" i="10"/>
  <c r="T33" i="11"/>
  <c r="S33" i="10"/>
  <c r="S33" i="11"/>
  <c r="R33" i="10"/>
  <c r="R33" i="11"/>
  <c r="Q33" i="10"/>
  <c r="Q33" i="11"/>
  <c r="P33" i="10"/>
  <c r="P33" i="11"/>
  <c r="O33" i="10"/>
  <c r="O33" i="11"/>
  <c r="N33" i="10"/>
  <c r="N33" i="11"/>
  <c r="M33" i="10"/>
  <c r="M33" i="11"/>
  <c r="V32" i="10"/>
  <c r="V32" i="11"/>
  <c r="U32" i="10"/>
  <c r="U32" i="11"/>
  <c r="T32" i="10"/>
  <c r="T32" i="11"/>
  <c r="S32" i="10"/>
  <c r="S32" i="11"/>
  <c r="R32" i="10"/>
  <c r="R32" i="11"/>
  <c r="Q32" i="10"/>
  <c r="Q32" i="11"/>
  <c r="P32" i="10"/>
  <c r="P32" i="11"/>
  <c r="O32" i="10"/>
  <c r="O32" i="11"/>
  <c r="N32" i="10"/>
  <c r="N32" i="11"/>
  <c r="M32" i="10"/>
  <c r="M32" i="11"/>
  <c r="V31" i="10"/>
  <c r="V31" i="11"/>
  <c r="U31" i="10"/>
  <c r="U31" i="11"/>
  <c r="T31" i="10"/>
  <c r="T31" i="11"/>
  <c r="S31" i="10"/>
  <c r="S31" i="11"/>
  <c r="R31" i="10"/>
  <c r="R31" i="11"/>
  <c r="Q31" i="10"/>
  <c r="Q31" i="11"/>
  <c r="P31" i="10"/>
  <c r="P31" i="11"/>
  <c r="O31" i="10"/>
  <c r="O31" i="11"/>
  <c r="N31" i="10"/>
  <c r="N31" i="11"/>
  <c r="M31" i="10"/>
  <c r="M31" i="11"/>
  <c r="V30" i="10"/>
  <c r="V30" i="11"/>
  <c r="U30" i="10"/>
  <c r="U30" i="11"/>
  <c r="T30" i="10"/>
  <c r="T30" i="11"/>
  <c r="S30" i="10"/>
  <c r="S30" i="11"/>
  <c r="R30" i="10"/>
  <c r="R30" i="11"/>
  <c r="Q30" i="10"/>
  <c r="Q30" i="11"/>
  <c r="P30" i="10"/>
  <c r="P30" i="11"/>
  <c r="O30" i="10"/>
  <c r="O30" i="11"/>
  <c r="N30" i="10"/>
  <c r="N30" i="11"/>
  <c r="M30" i="10"/>
  <c r="M30" i="11"/>
  <c r="V29" i="10"/>
  <c r="V29" i="11"/>
  <c r="U29" i="10"/>
  <c r="U29" i="11"/>
  <c r="T29" i="10"/>
  <c r="T29" i="11"/>
  <c r="S29" i="10"/>
  <c r="S29" i="11"/>
  <c r="R29" i="10"/>
  <c r="R29" i="11"/>
  <c r="Q29" i="10"/>
  <c r="Q29" i="11"/>
  <c r="P29" i="10"/>
  <c r="P29" i="11"/>
  <c r="O29" i="10"/>
  <c r="O29" i="11"/>
  <c r="N29" i="10"/>
  <c r="N29" i="11"/>
  <c r="M29" i="10"/>
  <c r="M29" i="11"/>
  <c r="V28" i="10"/>
  <c r="V28" i="11"/>
  <c r="U28" i="10"/>
  <c r="U28" i="11"/>
  <c r="T28" i="10"/>
  <c r="T28" i="11"/>
  <c r="S28" i="10"/>
  <c r="S28" i="11"/>
  <c r="R28" i="10"/>
  <c r="R28" i="11"/>
  <c r="Q28" i="10"/>
  <c r="Q28" i="11"/>
  <c r="P28" i="10"/>
  <c r="P28" i="11"/>
  <c r="O28" i="10"/>
  <c r="O28" i="11"/>
  <c r="N28" i="10"/>
  <c r="N28" i="11"/>
  <c r="M28" i="10"/>
  <c r="M28" i="11"/>
  <c r="V27" i="10"/>
  <c r="V27" i="11"/>
  <c r="U27" i="10"/>
  <c r="U27" i="11"/>
  <c r="T27" i="10"/>
  <c r="T27" i="11"/>
  <c r="S27" i="10"/>
  <c r="S27" i="11"/>
  <c r="R27" i="10"/>
  <c r="R27" i="11"/>
  <c r="Q27" i="10"/>
  <c r="Q27" i="11"/>
  <c r="P27" i="10"/>
  <c r="P27" i="11"/>
  <c r="O27" i="10"/>
  <c r="O27" i="11"/>
  <c r="N27" i="10"/>
  <c r="N27" i="11"/>
  <c r="M27" i="10"/>
  <c r="M27" i="11"/>
  <c r="V26" i="10"/>
  <c r="V26" i="11"/>
  <c r="U26" i="10"/>
  <c r="U26" i="11"/>
  <c r="T26" i="10"/>
  <c r="T26" i="11"/>
  <c r="S26" i="10"/>
  <c r="S26" i="11"/>
  <c r="R26" i="10"/>
  <c r="R26" i="11"/>
  <c r="Q26" i="10"/>
  <c r="Q26" i="11"/>
  <c r="P26" i="10"/>
  <c r="P26" i="11"/>
  <c r="O26" i="10"/>
  <c r="O26" i="11"/>
  <c r="N26" i="10"/>
  <c r="N26" i="11"/>
  <c r="M26" i="10"/>
  <c r="M26" i="11"/>
  <c r="V25" i="10"/>
  <c r="V25" i="11"/>
  <c r="U25" i="10"/>
  <c r="U25" i="11"/>
  <c r="T25" i="10"/>
  <c r="T25" i="11"/>
  <c r="S25" i="10"/>
  <c r="S25" i="11"/>
  <c r="R25" i="10"/>
  <c r="R25" i="11"/>
  <c r="Q25" i="10"/>
  <c r="Q25" i="11"/>
  <c r="P25" i="10"/>
  <c r="P25" i="11"/>
  <c r="O25" i="10"/>
  <c r="O25" i="11"/>
  <c r="N25" i="10"/>
  <c r="N25" i="11"/>
  <c r="M25" i="10"/>
  <c r="M25" i="11"/>
  <c r="V24" i="10"/>
  <c r="V24" i="11"/>
  <c r="U24" i="10"/>
  <c r="U24" i="11"/>
  <c r="T24" i="10"/>
  <c r="T24" i="11"/>
  <c r="S24" i="10"/>
  <c r="S24" i="11"/>
  <c r="R24" i="10"/>
  <c r="R24" i="11"/>
  <c r="Q24" i="10"/>
  <c r="Q24" i="11"/>
  <c r="P24" i="10"/>
  <c r="P24" i="11"/>
  <c r="O24" i="10"/>
  <c r="O24" i="11"/>
  <c r="N24" i="10"/>
  <c r="N24" i="11"/>
  <c r="M24" i="10"/>
  <c r="M24" i="11"/>
  <c r="V23" i="10"/>
  <c r="V23" i="11"/>
  <c r="U23" i="10"/>
  <c r="U23" i="11"/>
  <c r="T23" i="10"/>
  <c r="T23" i="11"/>
  <c r="S23" i="10"/>
  <c r="S23" i="11"/>
  <c r="R23" i="10"/>
  <c r="R23" i="11"/>
  <c r="Q23" i="10"/>
  <c r="Q23" i="11"/>
  <c r="P23" i="10"/>
  <c r="P23" i="11"/>
  <c r="O23" i="10"/>
  <c r="O23" i="11"/>
  <c r="N23" i="10"/>
  <c r="N23" i="11"/>
  <c r="M23" i="10"/>
  <c r="M23" i="11"/>
  <c r="V22" i="10"/>
  <c r="V22" i="11"/>
  <c r="U22" i="10"/>
  <c r="U22" i="11"/>
  <c r="T22" i="10"/>
  <c r="T22" i="11"/>
  <c r="S22" i="10"/>
  <c r="S22" i="11"/>
  <c r="R22" i="10"/>
  <c r="R22" i="11"/>
  <c r="Q22" i="10"/>
  <c r="Q22" i="11"/>
  <c r="P22" i="10"/>
  <c r="P22" i="11"/>
  <c r="O22" i="10"/>
  <c r="O22" i="11"/>
  <c r="N22" i="10"/>
  <c r="N22" i="11"/>
  <c r="M22" i="10"/>
  <c r="M22" i="11"/>
  <c r="V21" i="10"/>
  <c r="V21" i="11"/>
  <c r="U21" i="10"/>
  <c r="U21" i="11"/>
  <c r="T21" i="10"/>
  <c r="T21" i="11"/>
  <c r="S21" i="10"/>
  <c r="S21" i="11"/>
  <c r="R21" i="10"/>
  <c r="R21" i="11"/>
  <c r="Q21" i="10"/>
  <c r="Q21" i="11"/>
  <c r="P21" i="10"/>
  <c r="P21" i="11"/>
  <c r="O21" i="10"/>
  <c r="O21" i="11"/>
  <c r="N21" i="10"/>
  <c r="N21" i="11"/>
  <c r="M21" i="10"/>
  <c r="M21" i="11"/>
  <c r="V20" i="10"/>
  <c r="V20" i="11"/>
  <c r="U20" i="10"/>
  <c r="U20" i="11"/>
  <c r="T20" i="10"/>
  <c r="T20" i="11"/>
  <c r="S20" i="10"/>
  <c r="S20" i="11"/>
  <c r="R20" i="10"/>
  <c r="R20" i="11"/>
  <c r="Q20" i="10"/>
  <c r="Q20" i="11"/>
  <c r="P20" i="10"/>
  <c r="P20" i="11"/>
  <c r="O20" i="10"/>
  <c r="O20" i="11"/>
  <c r="N20" i="10"/>
  <c r="N20" i="11"/>
  <c r="M20" i="10"/>
  <c r="M20" i="11"/>
  <c r="V19" i="10"/>
  <c r="V19" i="11"/>
  <c r="U19" i="10"/>
  <c r="U19" i="11"/>
  <c r="T19" i="10"/>
  <c r="T19" i="11"/>
  <c r="S19" i="10"/>
  <c r="S19" i="11"/>
  <c r="R19" i="10"/>
  <c r="R19" i="11"/>
  <c r="Q19" i="10"/>
  <c r="Q19" i="11"/>
  <c r="P19" i="10"/>
  <c r="P19" i="11"/>
  <c r="O19" i="10"/>
  <c r="O19" i="11"/>
  <c r="N19" i="10"/>
  <c r="N19" i="11"/>
  <c r="M19" i="10"/>
  <c r="M19" i="11"/>
  <c r="V18" i="10"/>
  <c r="V18" i="11"/>
  <c r="U18" i="10"/>
  <c r="U18" i="11"/>
  <c r="T18" i="10"/>
  <c r="T18" i="11"/>
  <c r="S18" i="10"/>
  <c r="S18" i="11"/>
  <c r="R18" i="10"/>
  <c r="R18" i="11"/>
  <c r="Q18" i="10"/>
  <c r="Q18" i="11"/>
  <c r="P18" i="10"/>
  <c r="P18" i="11"/>
  <c r="O18" i="10"/>
  <c r="O18" i="11"/>
  <c r="N18" i="10"/>
  <c r="N18" i="11"/>
  <c r="M18" i="10"/>
  <c r="M18" i="11"/>
  <c r="V17" i="10"/>
  <c r="V17" i="11"/>
  <c r="U17" i="10"/>
  <c r="U17" i="11"/>
  <c r="T17" i="10"/>
  <c r="T17" i="11"/>
  <c r="S17" i="10"/>
  <c r="S17" i="11"/>
  <c r="R17" i="10"/>
  <c r="R17" i="11"/>
  <c r="Q17" i="10"/>
  <c r="Q17" i="11"/>
  <c r="P17" i="10"/>
  <c r="P17" i="11"/>
  <c r="O17" i="10"/>
  <c r="O17" i="11"/>
  <c r="N17" i="10"/>
  <c r="N17" i="11"/>
  <c r="M17" i="10"/>
  <c r="M17" i="11"/>
  <c r="V16" i="10"/>
  <c r="V16" i="11"/>
  <c r="U16" i="10"/>
  <c r="U16" i="11"/>
  <c r="T16" i="10"/>
  <c r="T16" i="11"/>
  <c r="S16" i="10"/>
  <c r="S16" i="11"/>
  <c r="R16" i="10"/>
  <c r="R16" i="11"/>
  <c r="Q16" i="10"/>
  <c r="Q16" i="11"/>
  <c r="P16" i="10"/>
  <c r="P16" i="11"/>
  <c r="O16" i="10"/>
  <c r="O16" i="11"/>
  <c r="N16" i="10"/>
  <c r="N16" i="11"/>
  <c r="M16" i="10"/>
  <c r="M16" i="11"/>
  <c r="V15" i="10"/>
  <c r="V15" i="11"/>
  <c r="U15" i="10"/>
  <c r="U15" i="11"/>
  <c r="T15" i="10"/>
  <c r="T15" i="11"/>
  <c r="S15" i="10"/>
  <c r="S15" i="11"/>
  <c r="R15" i="10"/>
  <c r="R15" i="11"/>
  <c r="Q15" i="10"/>
  <c r="Q15" i="11"/>
  <c r="P15" i="10"/>
  <c r="P15" i="11"/>
  <c r="O15" i="10"/>
  <c r="O15" i="11"/>
  <c r="N15" i="10"/>
  <c r="N15" i="11"/>
  <c r="M15" i="10"/>
  <c r="M15" i="11"/>
  <c r="V14" i="10"/>
  <c r="V14" i="11"/>
  <c r="U14" i="10"/>
  <c r="U14" i="11"/>
  <c r="T14" i="10"/>
  <c r="T14" i="11"/>
  <c r="S14" i="10"/>
  <c r="S14" i="11"/>
  <c r="R14" i="10"/>
  <c r="R14" i="11"/>
  <c r="Q14" i="10"/>
  <c r="Q14" i="11"/>
  <c r="P14" i="10"/>
  <c r="P14" i="11"/>
  <c r="O14" i="10"/>
  <c r="O14" i="11"/>
  <c r="N14" i="10"/>
  <c r="N14" i="11"/>
  <c r="M14" i="10"/>
  <c r="M14" i="11"/>
  <c r="V13" i="10"/>
  <c r="V13" i="11"/>
  <c r="U13" i="10"/>
  <c r="U13" i="11"/>
  <c r="T13" i="10"/>
  <c r="T13" i="11"/>
  <c r="S13" i="10"/>
  <c r="S13" i="11"/>
  <c r="R13" i="10"/>
  <c r="R13" i="11"/>
  <c r="Q13" i="10"/>
  <c r="Q13" i="11"/>
  <c r="P13" i="10"/>
  <c r="P13" i="11"/>
  <c r="O13" i="10"/>
  <c r="O13" i="11"/>
  <c r="N13" i="10"/>
  <c r="N13" i="11"/>
  <c r="M13" i="10"/>
  <c r="M13" i="11"/>
  <c r="V12" i="10"/>
  <c r="V12" i="11"/>
  <c r="U12" i="10"/>
  <c r="U12" i="11"/>
  <c r="T12" i="10"/>
  <c r="T12" i="11"/>
  <c r="S12" i="10"/>
  <c r="S12" i="11"/>
  <c r="R12" i="10"/>
  <c r="R12" i="11"/>
  <c r="Q12" i="10"/>
  <c r="Q12" i="11"/>
  <c r="P12" i="10"/>
  <c r="P12" i="11"/>
  <c r="O12" i="10"/>
  <c r="O12" i="11"/>
  <c r="N12" i="10"/>
  <c r="N12" i="11"/>
  <c r="M12" i="10"/>
  <c r="M12" i="11"/>
  <c r="V11" i="10"/>
  <c r="V11" i="11"/>
  <c r="U11" i="10"/>
  <c r="U11" i="11"/>
  <c r="T11" i="10"/>
  <c r="T11" i="11"/>
  <c r="S11" i="10"/>
  <c r="S11" i="11"/>
  <c r="R11" i="10"/>
  <c r="R11" i="11"/>
  <c r="Q11" i="10"/>
  <c r="Q11" i="11"/>
  <c r="P11" i="10"/>
  <c r="P11" i="11"/>
  <c r="O11" i="10"/>
  <c r="O11" i="11"/>
  <c r="N11" i="10"/>
  <c r="N11" i="11"/>
  <c r="M11" i="10"/>
  <c r="M11" i="11"/>
  <c r="V10" i="10"/>
  <c r="V10" i="11"/>
  <c r="U10" i="10"/>
  <c r="U10" i="11"/>
  <c r="T10" i="10"/>
  <c r="T10" i="11"/>
  <c r="S10" i="10"/>
  <c r="S10" i="11"/>
  <c r="R10" i="10"/>
  <c r="R10" i="11"/>
  <c r="Q10" i="10"/>
  <c r="Q10" i="11"/>
  <c r="P10" i="10"/>
  <c r="P10" i="11"/>
  <c r="O10" i="10"/>
  <c r="O10" i="11"/>
  <c r="N10" i="10"/>
  <c r="N10" i="11"/>
  <c r="M10" i="10"/>
  <c r="M10" i="11"/>
  <c r="V9" i="10"/>
  <c r="V9" i="11"/>
  <c r="U9" i="10"/>
  <c r="U9" i="11"/>
  <c r="T9" i="10"/>
  <c r="T9" i="11"/>
  <c r="S9" i="10"/>
  <c r="S9" i="11"/>
  <c r="R9" i="10"/>
  <c r="R9" i="11"/>
  <c r="Q9" i="10"/>
  <c r="Q9" i="11"/>
  <c r="P9" i="10"/>
  <c r="P9" i="11"/>
  <c r="O9" i="10"/>
  <c r="O9" i="11"/>
  <c r="N9" i="10"/>
  <c r="N9" i="11"/>
  <c r="M9" i="10"/>
  <c r="M9" i="11"/>
  <c r="V8" i="10"/>
  <c r="V8" i="11"/>
  <c r="U8" i="10"/>
  <c r="U8" i="11"/>
  <c r="T8" i="10"/>
  <c r="T8" i="11"/>
  <c r="S8" i="10"/>
  <c r="S8" i="11"/>
  <c r="R8" i="10"/>
  <c r="R8" i="11"/>
  <c r="Q8" i="10"/>
  <c r="Q8" i="11"/>
  <c r="P8" i="10"/>
  <c r="P8" i="11"/>
  <c r="O8" i="10"/>
  <c r="O8" i="11"/>
  <c r="N8" i="10"/>
  <c r="N8" i="11"/>
  <c r="M8" i="10"/>
  <c r="M8" i="11"/>
  <c r="V7" i="10"/>
  <c r="V7" i="11"/>
  <c r="U7" i="10"/>
  <c r="U7" i="11"/>
  <c r="T7" i="10"/>
  <c r="T7" i="11"/>
  <c r="S7" i="10"/>
  <c r="S7" i="11"/>
  <c r="R7" i="10"/>
  <c r="R7" i="11"/>
  <c r="Q7" i="10"/>
  <c r="Q7" i="11"/>
  <c r="P7" i="10"/>
  <c r="P7" i="11"/>
  <c r="O7" i="10"/>
  <c r="O7" i="11"/>
  <c r="N7" i="10"/>
  <c r="N7" i="11"/>
  <c r="M7" i="10"/>
  <c r="M7" i="11"/>
  <c r="V6" i="10"/>
  <c r="V6" i="11"/>
  <c r="U6" i="10"/>
  <c r="U6" i="11"/>
  <c r="T6" i="10"/>
  <c r="T6" i="11"/>
  <c r="S6" i="10"/>
  <c r="S6" i="11"/>
  <c r="R6" i="10"/>
  <c r="R6" i="11"/>
  <c r="Q6" i="10"/>
  <c r="Q6" i="11"/>
  <c r="P6" i="10"/>
  <c r="P6" i="11"/>
  <c r="O6" i="10"/>
  <c r="O6" i="11"/>
  <c r="N6" i="10"/>
  <c r="N6" i="11"/>
  <c r="M6" i="10"/>
  <c r="M6" i="11"/>
  <c r="V5" i="10"/>
  <c r="V5" i="11"/>
  <c r="U5" i="10"/>
  <c r="U5" i="11"/>
  <c r="T5" i="10"/>
  <c r="T5" i="11"/>
  <c r="S5" i="10"/>
  <c r="S5" i="11"/>
  <c r="R5" i="10"/>
  <c r="R5" i="11"/>
  <c r="Q5" i="10"/>
  <c r="Q5" i="11"/>
  <c r="P5" i="10"/>
  <c r="P5" i="11"/>
  <c r="O5" i="10"/>
  <c r="O5" i="11"/>
  <c r="N5" i="10"/>
  <c r="N5" i="11"/>
  <c r="M5" i="10"/>
  <c r="M5" i="11"/>
  <c r="V4" i="11"/>
  <c r="U4" i="11"/>
  <c r="T4" i="11"/>
  <c r="S4" i="11"/>
  <c r="R4" i="11"/>
  <c r="Q4" i="11"/>
  <c r="P4" i="11"/>
  <c r="O4" i="11"/>
  <c r="N4" i="11"/>
  <c r="M4" i="11"/>
  <c r="AI56" i="11"/>
  <c r="AG55" i="11"/>
  <c r="AF55" i="11"/>
  <c r="AE55" i="11"/>
  <c r="AD55" i="11"/>
  <c r="AC55" i="11"/>
  <c r="AB55" i="11"/>
  <c r="AA55" i="11"/>
  <c r="Z55" i="11"/>
  <c r="Y55" i="11"/>
  <c r="X55" i="11"/>
  <c r="AG54" i="11"/>
  <c r="AF54" i="11"/>
  <c r="AE54" i="11"/>
  <c r="AD54" i="11"/>
  <c r="AC54" i="11"/>
  <c r="AB54" i="11"/>
  <c r="AA54" i="11"/>
  <c r="Z54" i="11"/>
  <c r="Y54" i="11"/>
  <c r="X54" i="11"/>
  <c r="AG53" i="11"/>
  <c r="AF53" i="11"/>
  <c r="AE53" i="11"/>
  <c r="AD53" i="11"/>
  <c r="AC53" i="11"/>
  <c r="AB53" i="11"/>
  <c r="AA53" i="11"/>
  <c r="Z53" i="11"/>
  <c r="Y53" i="11"/>
  <c r="X53" i="11"/>
  <c r="AG52" i="11"/>
  <c r="AF52" i="11"/>
  <c r="AE52" i="11"/>
  <c r="AD52" i="11"/>
  <c r="AC52" i="11"/>
  <c r="AB52" i="11"/>
  <c r="AA52" i="11"/>
  <c r="Z52" i="11"/>
  <c r="Y52" i="11"/>
  <c r="X52" i="11"/>
  <c r="AG51" i="11"/>
  <c r="AF51" i="11"/>
  <c r="AE51" i="11"/>
  <c r="AD51" i="11"/>
  <c r="AC51" i="11"/>
  <c r="AB51" i="11"/>
  <c r="AA51" i="11"/>
  <c r="Z51" i="11"/>
  <c r="Y51" i="11"/>
  <c r="X51" i="11"/>
  <c r="AG50" i="11"/>
  <c r="AF50" i="11"/>
  <c r="AE50" i="11"/>
  <c r="AD50" i="11"/>
  <c r="AC50" i="11"/>
  <c r="AB50" i="11"/>
  <c r="AA50" i="11"/>
  <c r="Z50" i="11"/>
  <c r="Y50" i="11"/>
  <c r="X50" i="11"/>
  <c r="AG49" i="11"/>
  <c r="AF49" i="11"/>
  <c r="AE49" i="11"/>
  <c r="AD49" i="11"/>
  <c r="AC49" i="11"/>
  <c r="AB49" i="11"/>
  <c r="AA49" i="11"/>
  <c r="Z49" i="11"/>
  <c r="Y49" i="11"/>
  <c r="X49" i="11"/>
  <c r="AG48" i="11"/>
  <c r="AF48" i="11"/>
  <c r="AE48" i="11"/>
  <c r="AD48" i="11"/>
  <c r="AC48" i="11"/>
  <c r="AB48" i="11"/>
  <c r="AA48" i="11"/>
  <c r="Z48" i="11"/>
  <c r="Y48" i="11"/>
  <c r="X48" i="11"/>
  <c r="AG47" i="11"/>
  <c r="AF47" i="11"/>
  <c r="AE47" i="11"/>
  <c r="AD47" i="11"/>
  <c r="AC47" i="11"/>
  <c r="AB47" i="11"/>
  <c r="AA47" i="11"/>
  <c r="Z47" i="11"/>
  <c r="Y47" i="11"/>
  <c r="X47" i="11"/>
  <c r="AG46" i="11"/>
  <c r="AF46" i="11"/>
  <c r="AE46" i="11"/>
  <c r="AD46" i="11"/>
  <c r="AC46" i="11"/>
  <c r="AB46" i="11"/>
  <c r="AA46" i="11"/>
  <c r="Z46" i="11"/>
  <c r="Y46" i="11"/>
  <c r="X46" i="11"/>
  <c r="AG45" i="11"/>
  <c r="AF45" i="11"/>
  <c r="AE45" i="11"/>
  <c r="AD45" i="11"/>
  <c r="AC45" i="11"/>
  <c r="AB45" i="11"/>
  <c r="AA45" i="11"/>
  <c r="Z45" i="11"/>
  <c r="Y45" i="11"/>
  <c r="X45" i="11"/>
  <c r="AG44" i="11"/>
  <c r="AF44" i="11"/>
  <c r="AE44" i="11"/>
  <c r="AD44" i="11"/>
  <c r="AC44" i="11"/>
  <c r="AB44" i="11"/>
  <c r="AA44" i="11"/>
  <c r="Z44" i="11"/>
  <c r="Y44" i="11"/>
  <c r="X44" i="11"/>
  <c r="AG43" i="11"/>
  <c r="AF43" i="11"/>
  <c r="AE43" i="11"/>
  <c r="AD43" i="11"/>
  <c r="AC43" i="11"/>
  <c r="AB43" i="11"/>
  <c r="AA43" i="11"/>
  <c r="Z43" i="11"/>
  <c r="Y43" i="11"/>
  <c r="X43" i="11"/>
  <c r="AG42" i="11"/>
  <c r="AF42" i="11"/>
  <c r="AE42" i="11"/>
  <c r="AD42" i="11"/>
  <c r="AC42" i="11"/>
  <c r="AB42" i="11"/>
  <c r="AA42" i="11"/>
  <c r="Z42" i="11"/>
  <c r="Y42" i="11"/>
  <c r="X42" i="11"/>
  <c r="AG41" i="11"/>
  <c r="AF41" i="11"/>
  <c r="AE41" i="11"/>
  <c r="AD41" i="11"/>
  <c r="AC41" i="11"/>
  <c r="AB41" i="11"/>
  <c r="AA41" i="11"/>
  <c r="Z41" i="11"/>
  <c r="Y41" i="11"/>
  <c r="X41" i="11"/>
  <c r="AG40" i="11"/>
  <c r="AF40" i="11"/>
  <c r="AE40" i="11"/>
  <c r="AD40" i="11"/>
  <c r="AC40" i="11"/>
  <c r="AB40" i="11"/>
  <c r="AA40" i="11"/>
  <c r="Z40" i="11"/>
  <c r="Y40" i="11"/>
  <c r="X40" i="11"/>
  <c r="AG39" i="11"/>
  <c r="AF39" i="11"/>
  <c r="AE39" i="11"/>
  <c r="AD39" i="11"/>
  <c r="AC39" i="11"/>
  <c r="AB39" i="11"/>
  <c r="AA39" i="11"/>
  <c r="Z39" i="11"/>
  <c r="Y39" i="11"/>
  <c r="X39" i="11"/>
  <c r="AG38" i="11"/>
  <c r="AF38" i="11"/>
  <c r="AE38" i="11"/>
  <c r="AD38" i="11"/>
  <c r="AC38" i="11"/>
  <c r="AB38" i="11"/>
  <c r="AA38" i="11"/>
  <c r="Z38" i="11"/>
  <c r="Y38" i="11"/>
  <c r="X38" i="11"/>
  <c r="AG37" i="11"/>
  <c r="AF37" i="11"/>
  <c r="AE37" i="11"/>
  <c r="AD37" i="11"/>
  <c r="AC37" i="11"/>
  <c r="AB37" i="11"/>
  <c r="AA37" i="11"/>
  <c r="Z37" i="11"/>
  <c r="Y37" i="11"/>
  <c r="X37" i="11"/>
  <c r="AG36" i="11"/>
  <c r="AF36" i="11"/>
  <c r="AE36" i="11"/>
  <c r="AD36" i="11"/>
  <c r="AC36" i="11"/>
  <c r="AB36" i="11"/>
  <c r="AA36" i="11"/>
  <c r="Z36" i="11"/>
  <c r="Y36" i="11"/>
  <c r="X36" i="11"/>
  <c r="AG35" i="11"/>
  <c r="AF35" i="11"/>
  <c r="AE35" i="11"/>
  <c r="AD35" i="11"/>
  <c r="AC35" i="11"/>
  <c r="AB35" i="11"/>
  <c r="AA35" i="11"/>
  <c r="Z35" i="11"/>
  <c r="Y35" i="11"/>
  <c r="X35" i="11"/>
  <c r="AG34" i="11"/>
  <c r="AF34" i="11"/>
  <c r="AE34" i="11"/>
  <c r="AD34" i="11"/>
  <c r="AC34" i="11"/>
  <c r="AB34" i="11"/>
  <c r="AA34" i="11"/>
  <c r="Z34" i="11"/>
  <c r="Y34" i="11"/>
  <c r="X34" i="11"/>
  <c r="AG33" i="11"/>
  <c r="AF33" i="11"/>
  <c r="AE33" i="11"/>
  <c r="AD33" i="11"/>
  <c r="AC33" i="11"/>
  <c r="AB33" i="11"/>
  <c r="AA33" i="11"/>
  <c r="Z33" i="11"/>
  <c r="Y33" i="11"/>
  <c r="X33" i="11"/>
  <c r="AG32" i="11"/>
  <c r="AF32" i="11"/>
  <c r="AE32" i="11"/>
  <c r="AD32" i="11"/>
  <c r="AC32" i="11"/>
  <c r="AB32" i="11"/>
  <c r="AA32" i="11"/>
  <c r="Z32" i="11"/>
  <c r="Y32" i="11"/>
  <c r="X32" i="11"/>
  <c r="AG31" i="11"/>
  <c r="AF31" i="11"/>
  <c r="AE31" i="11"/>
  <c r="AD31" i="11"/>
  <c r="AC31" i="11"/>
  <c r="AB31" i="11"/>
  <c r="AA31" i="11"/>
  <c r="Z31" i="11"/>
  <c r="Y31" i="11"/>
  <c r="X31" i="11"/>
  <c r="AG30" i="11"/>
  <c r="AF30" i="11"/>
  <c r="AE30" i="11"/>
  <c r="AD30" i="11"/>
  <c r="AC30" i="11"/>
  <c r="AB30" i="11"/>
  <c r="AA30" i="11"/>
  <c r="Z30" i="11"/>
  <c r="Y30" i="11"/>
  <c r="X30" i="11"/>
  <c r="AG29" i="11"/>
  <c r="AF29" i="11"/>
  <c r="AE29" i="11"/>
  <c r="AD29" i="11"/>
  <c r="AC29" i="11"/>
  <c r="AB29" i="11"/>
  <c r="AA29" i="11"/>
  <c r="Z29" i="11"/>
  <c r="Y29" i="11"/>
  <c r="X29" i="11"/>
  <c r="AG28" i="11"/>
  <c r="AF28" i="11"/>
  <c r="AE28" i="11"/>
  <c r="AD28" i="11"/>
  <c r="AC28" i="11"/>
  <c r="AB28" i="11"/>
  <c r="AA28" i="11"/>
  <c r="Z28" i="11"/>
  <c r="Y28" i="11"/>
  <c r="X28" i="11"/>
  <c r="AG27" i="11"/>
  <c r="AF27" i="11"/>
  <c r="AE27" i="11"/>
  <c r="AD27" i="11"/>
  <c r="AC27" i="11"/>
  <c r="AB27" i="11"/>
  <c r="AA27" i="11"/>
  <c r="Z27" i="11"/>
  <c r="Y27" i="11"/>
  <c r="X27" i="11"/>
  <c r="AG26" i="11"/>
  <c r="AF26" i="11"/>
  <c r="AE26" i="11"/>
  <c r="AD26" i="11"/>
  <c r="AC26" i="11"/>
  <c r="AB26" i="11"/>
  <c r="AA26" i="11"/>
  <c r="Z26" i="11"/>
  <c r="Y26" i="11"/>
  <c r="X26" i="11"/>
  <c r="AG25" i="11"/>
  <c r="AF25" i="11"/>
  <c r="AE25" i="11"/>
  <c r="AD25" i="11"/>
  <c r="AC25" i="11"/>
  <c r="AB25" i="11"/>
  <c r="AA25" i="11"/>
  <c r="Z25" i="11"/>
  <c r="Y25" i="11"/>
  <c r="X25" i="11"/>
  <c r="AG24" i="11"/>
  <c r="AF24" i="11"/>
  <c r="AE24" i="11"/>
  <c r="AD24" i="11"/>
  <c r="AC24" i="11"/>
  <c r="AB24" i="11"/>
  <c r="AA24" i="11"/>
  <c r="Z24" i="11"/>
  <c r="Y24" i="11"/>
  <c r="X24" i="11"/>
  <c r="AG23" i="11"/>
  <c r="AF23" i="11"/>
  <c r="AE23" i="11"/>
  <c r="AD23" i="11"/>
  <c r="AC23" i="11"/>
  <c r="AB23" i="11"/>
  <c r="AA23" i="11"/>
  <c r="Z23" i="11"/>
  <c r="Y23" i="11"/>
  <c r="X23" i="11"/>
  <c r="BZ48" i="11"/>
  <c r="AG22" i="11"/>
  <c r="AF22" i="11"/>
  <c r="AE22" i="11"/>
  <c r="AD22" i="11"/>
  <c r="AC22" i="11"/>
  <c r="AB22" i="11"/>
  <c r="AA22" i="11"/>
  <c r="Z22" i="11"/>
  <c r="Y22" i="11"/>
  <c r="X22" i="11"/>
  <c r="AG21" i="11"/>
  <c r="AF21" i="11"/>
  <c r="AE21" i="11"/>
  <c r="AD21" i="11"/>
  <c r="AC21" i="11"/>
  <c r="AB21" i="11"/>
  <c r="AA21" i="11"/>
  <c r="Z21" i="11"/>
  <c r="Y21" i="11"/>
  <c r="X21" i="11"/>
  <c r="AG20" i="11"/>
  <c r="AF20" i="11"/>
  <c r="AE20" i="11"/>
  <c r="AD20" i="11"/>
  <c r="AC20" i="11"/>
  <c r="AB20" i="11"/>
  <c r="AA20" i="11"/>
  <c r="Z20" i="11"/>
  <c r="Y20" i="11"/>
  <c r="X20" i="11"/>
  <c r="AG19" i="11"/>
  <c r="AF19" i="11"/>
  <c r="AE19" i="11"/>
  <c r="AD19" i="11"/>
  <c r="AC19" i="11"/>
  <c r="AB19" i="11"/>
  <c r="AA19" i="11"/>
  <c r="Z19" i="11"/>
  <c r="Y19" i="11"/>
  <c r="X19" i="11"/>
  <c r="AG18" i="11"/>
  <c r="AF18" i="11"/>
  <c r="AE18" i="11"/>
  <c r="AD18" i="11"/>
  <c r="AC18" i="11"/>
  <c r="AB18" i="11"/>
  <c r="AA18" i="11"/>
  <c r="Z18" i="11"/>
  <c r="Y18" i="11"/>
  <c r="X18" i="11"/>
  <c r="AG17" i="11"/>
  <c r="AF17" i="11"/>
  <c r="AE17" i="11"/>
  <c r="AD17" i="11"/>
  <c r="AC17" i="11"/>
  <c r="AB17" i="11"/>
  <c r="AA17" i="11"/>
  <c r="Z17" i="11"/>
  <c r="Y17" i="11"/>
  <c r="X17" i="11"/>
  <c r="AG16" i="11"/>
  <c r="AF16" i="11"/>
  <c r="AE16" i="11"/>
  <c r="AD16" i="11"/>
  <c r="AC16" i="11"/>
  <c r="AB16" i="11"/>
  <c r="AA16" i="11"/>
  <c r="Z16" i="11"/>
  <c r="Y16" i="11"/>
  <c r="X16" i="11"/>
  <c r="AG15" i="11"/>
  <c r="AF15" i="11"/>
  <c r="AE15" i="11"/>
  <c r="AD15" i="11"/>
  <c r="AC15" i="11"/>
  <c r="AB15" i="11"/>
  <c r="AA15" i="11"/>
  <c r="Z15" i="11"/>
  <c r="Y15" i="11"/>
  <c r="X15" i="11"/>
  <c r="AG14" i="11"/>
  <c r="AF14" i="11"/>
  <c r="AE14" i="11"/>
  <c r="AD14" i="11"/>
  <c r="AC14" i="11"/>
  <c r="AB14" i="11"/>
  <c r="AA14" i="11"/>
  <c r="Z14" i="11"/>
  <c r="Y14" i="11"/>
  <c r="X14" i="11"/>
  <c r="AG13" i="11"/>
  <c r="AF13" i="11"/>
  <c r="AE13" i="11"/>
  <c r="AD13" i="11"/>
  <c r="AC13" i="11"/>
  <c r="AB13" i="11"/>
  <c r="AA13" i="11"/>
  <c r="Z13" i="11"/>
  <c r="Y13" i="11"/>
  <c r="X13" i="11"/>
  <c r="AG12" i="11"/>
  <c r="AF12" i="11"/>
  <c r="AE12" i="11"/>
  <c r="AD12" i="11"/>
  <c r="AC12" i="11"/>
  <c r="AB12" i="11"/>
  <c r="AA12" i="11"/>
  <c r="Z12" i="11"/>
  <c r="Y12" i="11"/>
  <c r="X12" i="11"/>
  <c r="AG11" i="11"/>
  <c r="AF11" i="11"/>
  <c r="AE11" i="11"/>
  <c r="AD11" i="11"/>
  <c r="AC11" i="11"/>
  <c r="AB11" i="11"/>
  <c r="AA11" i="11"/>
  <c r="Z11" i="11"/>
  <c r="Y11" i="11"/>
  <c r="X11" i="11"/>
  <c r="AG10" i="11"/>
  <c r="AF10" i="11"/>
  <c r="AE10" i="11"/>
  <c r="AD10" i="11"/>
  <c r="AC10" i="11"/>
  <c r="AB10" i="11"/>
  <c r="AA10" i="11"/>
  <c r="Z10" i="11"/>
  <c r="Y10" i="11"/>
  <c r="X10" i="11"/>
  <c r="AG9" i="11"/>
  <c r="AF9" i="11"/>
  <c r="AE9" i="11"/>
  <c r="AD9" i="11"/>
  <c r="AC9" i="11"/>
  <c r="AB9" i="11"/>
  <c r="AA9" i="11"/>
  <c r="Z9" i="11"/>
  <c r="Y9" i="11"/>
  <c r="X9" i="11"/>
  <c r="AG8" i="11"/>
  <c r="AF8" i="11"/>
  <c r="AE8" i="11"/>
  <c r="AD8" i="11"/>
  <c r="AC8" i="11"/>
  <c r="AB8" i="11"/>
  <c r="AA8" i="11"/>
  <c r="Z8" i="11"/>
  <c r="Y8" i="11"/>
  <c r="X8" i="11"/>
  <c r="AG7" i="11"/>
  <c r="AF7" i="11"/>
  <c r="AE7" i="11"/>
  <c r="AD7" i="11"/>
  <c r="AC7" i="11"/>
  <c r="AB7" i="11"/>
  <c r="AA7" i="11"/>
  <c r="Z7" i="11"/>
  <c r="Y7" i="11"/>
  <c r="X7" i="11"/>
  <c r="AG6" i="11"/>
  <c r="AF6" i="11"/>
  <c r="AE6" i="11"/>
  <c r="AD6" i="11"/>
  <c r="AC6" i="11"/>
  <c r="AB6" i="11"/>
  <c r="AA6" i="11"/>
  <c r="Z6" i="11"/>
  <c r="Y6" i="11"/>
  <c r="X6" i="11"/>
  <c r="AG5" i="11"/>
  <c r="AF5" i="11"/>
  <c r="AE5" i="11"/>
  <c r="AD5" i="11"/>
  <c r="AC5" i="11"/>
  <c r="AB5" i="11"/>
  <c r="AA5" i="11"/>
  <c r="Z5" i="11"/>
  <c r="Y5" i="11"/>
  <c r="X5" i="11"/>
  <c r="AG4" i="11"/>
  <c r="AF4" i="11"/>
  <c r="AE4" i="11"/>
  <c r="AD4" i="11"/>
  <c r="AC4" i="11"/>
  <c r="AB4" i="11"/>
  <c r="AA4" i="11"/>
  <c r="Z4" i="11"/>
  <c r="Y4" i="11"/>
  <c r="X4" i="11"/>
  <c r="AI40" i="11"/>
  <c r="AK40" i="11"/>
  <c r="AO49" i="11"/>
  <c r="BI49" i="11"/>
  <c r="BE49" i="11"/>
  <c r="AS49" i="11"/>
  <c r="AI32" i="11"/>
  <c r="AK32" i="11"/>
  <c r="AS44" i="11"/>
  <c r="BA44" i="11"/>
  <c r="CG44" i="11"/>
  <c r="AV44" i="11"/>
  <c r="AW49" i="11"/>
  <c r="AK44" i="11"/>
  <c r="BQ44" i="11"/>
  <c r="CC44" i="11"/>
  <c r="BH44" i="11"/>
  <c r="BX44" i="11"/>
  <c r="BA49" i="11"/>
  <c r="AN48" i="11"/>
  <c r="AX48" i="11"/>
  <c r="BD48" i="11"/>
  <c r="BN48" i="11"/>
  <c r="BY48" i="11"/>
  <c r="AR48" i="11"/>
  <c r="BH48" i="11"/>
  <c r="BR48" i="11"/>
  <c r="AP48" i="11"/>
  <c r="BF48" i="11"/>
  <c r="BV48" i="11"/>
  <c r="AK49" i="11"/>
  <c r="AS48" i="11"/>
  <c r="BI48" i="11"/>
  <c r="BT48" i="11"/>
  <c r="CD48" i="11"/>
  <c r="AL48" i="11"/>
  <c r="BB48" i="11"/>
  <c r="BX48" i="11"/>
  <c r="AT48" i="11"/>
  <c r="BJ48" i="11"/>
  <c r="CB45" i="11"/>
  <c r="BL45" i="11"/>
  <c r="AZ45" i="11"/>
  <c r="AR45" i="11"/>
  <c r="BX45" i="11"/>
  <c r="BP45" i="11"/>
  <c r="BD45" i="11"/>
  <c r="AN45" i="11"/>
  <c r="CF45" i="11"/>
  <c r="BT45" i="11"/>
  <c r="BH45" i="11"/>
  <c r="AV45" i="11"/>
  <c r="AJ45" i="11"/>
  <c r="CF49" i="11"/>
  <c r="BX49" i="11"/>
  <c r="BP49" i="11"/>
  <c r="BL49" i="11"/>
  <c r="BD49" i="11"/>
  <c r="AR49" i="11"/>
  <c r="AJ49" i="11"/>
  <c r="CB49" i="11"/>
  <c r="BT49" i="11"/>
  <c r="BH49" i="11"/>
  <c r="AZ49" i="11"/>
  <c r="AN49" i="11"/>
  <c r="AV49" i="11"/>
  <c r="AM45" i="11"/>
  <c r="AQ45" i="11"/>
  <c r="AU45" i="11"/>
  <c r="AY45" i="11"/>
  <c r="BC45" i="11"/>
  <c r="BG45" i="11"/>
  <c r="BK45" i="11"/>
  <c r="BO45" i="11"/>
  <c r="BS45" i="11"/>
  <c r="BW45" i="11"/>
  <c r="CA45" i="11"/>
  <c r="CE45" i="11"/>
  <c r="AM49" i="11"/>
  <c r="AQ49" i="11"/>
  <c r="AU49" i="11"/>
  <c r="AY49" i="11"/>
  <c r="BC49" i="11"/>
  <c r="BG49" i="11"/>
  <c r="BK49" i="11"/>
  <c r="BO49" i="11"/>
  <c r="BS49" i="11"/>
  <c r="BW49" i="11"/>
  <c r="CA49" i="11"/>
  <c r="CE49" i="11"/>
  <c r="AL45" i="11"/>
  <c r="AP45" i="11"/>
  <c r="AT45" i="11"/>
  <c r="AX45" i="11"/>
  <c r="BB45" i="11"/>
  <c r="BF45" i="11"/>
  <c r="BJ45" i="11"/>
  <c r="BN45" i="11"/>
  <c r="BR45" i="11"/>
  <c r="BV45" i="11"/>
  <c r="BZ45" i="11"/>
  <c r="CD45" i="11"/>
  <c r="AL49" i="11"/>
  <c r="AP49" i="11"/>
  <c r="AT49" i="11"/>
  <c r="AX49" i="11"/>
  <c r="BB49" i="11"/>
  <c r="BF49" i="11"/>
  <c r="BJ49" i="11"/>
  <c r="BN49" i="11"/>
  <c r="BR49" i="11"/>
  <c r="BV49" i="11"/>
  <c r="BZ49" i="11"/>
  <c r="CD49" i="11"/>
  <c r="AO45" i="11"/>
  <c r="AS45" i="11"/>
  <c r="AW45" i="11"/>
  <c r="BA45" i="11"/>
  <c r="BE45" i="11"/>
  <c r="BI45" i="11"/>
  <c r="BM45" i="11"/>
  <c r="BQ45" i="11"/>
  <c r="BU45" i="11"/>
  <c r="BY45" i="11"/>
  <c r="CC45" i="11"/>
  <c r="CG45" i="11"/>
  <c r="BM49" i="11"/>
  <c r="BQ49" i="11"/>
  <c r="BU49" i="11"/>
  <c r="BY49" i="11"/>
  <c r="CC49" i="11"/>
  <c r="CG49" i="11"/>
  <c r="AI38" i="11"/>
  <c r="AK38" i="11"/>
  <c r="AT50" i="11"/>
  <c r="AX50" i="11"/>
  <c r="BZ50" i="11"/>
  <c r="CD50" i="11"/>
  <c r="BW44" i="11"/>
  <c r="BK44" i="11"/>
  <c r="AY44" i="11"/>
  <c r="AM44" i="11"/>
  <c r="CA44" i="11"/>
  <c r="BO44" i="11"/>
  <c r="BC44" i="11"/>
  <c r="AQ44" i="11"/>
  <c r="CE44" i="11"/>
  <c r="BS44" i="11"/>
  <c r="BG44" i="11"/>
  <c r="AU44" i="11"/>
  <c r="AI44" i="11"/>
  <c r="CA48" i="11"/>
  <c r="BO48" i="11"/>
  <c r="BG48" i="11"/>
  <c r="AU48" i="11"/>
  <c r="AI48" i="11"/>
  <c r="CE48" i="11"/>
  <c r="BS48" i="11"/>
  <c r="BK48" i="11"/>
  <c r="AY48" i="11"/>
  <c r="AQ48" i="11"/>
  <c r="BW48" i="11"/>
  <c r="BC48" i="11"/>
  <c r="AM48" i="11"/>
  <c r="AI34" i="11"/>
  <c r="AK34" i="11"/>
  <c r="AV46" i="11"/>
  <c r="BN50" i="11"/>
  <c r="AI45" i="11"/>
  <c r="AI49" i="11"/>
  <c r="AI31" i="11"/>
  <c r="AK31" i="11"/>
  <c r="AI35" i="11"/>
  <c r="AK35" i="11"/>
  <c r="AI39" i="11"/>
  <c r="AK39" i="11"/>
  <c r="AS51" i="11"/>
  <c r="BV44" i="11"/>
  <c r="BF44" i="11"/>
  <c r="AP44" i="11"/>
  <c r="CD44" i="11"/>
  <c r="BN44" i="11"/>
  <c r="BD44" i="11"/>
  <c r="CF44" i="11"/>
  <c r="BZ44" i="11"/>
  <c r="BU44" i="11"/>
  <c r="BP44" i="11"/>
  <c r="BE44" i="11"/>
  <c r="AT44" i="11"/>
  <c r="AJ44" i="11"/>
  <c r="BR44" i="11"/>
  <c r="BB44" i="11"/>
  <c r="AL44" i="11"/>
  <c r="BT44" i="11"/>
  <c r="AX44" i="11"/>
  <c r="AN44" i="11"/>
  <c r="BJ44" i="11"/>
  <c r="AZ44" i="11"/>
  <c r="AO44" i="11"/>
  <c r="BG51" i="11"/>
  <c r="BK51" i="11"/>
  <c r="BW51" i="11"/>
  <c r="AQ51" i="11"/>
  <c r="BJ50" i="11"/>
  <c r="AR44" i="11"/>
  <c r="AW44" i="11"/>
  <c r="BL44" i="11"/>
  <c r="BM44" i="11"/>
  <c r="CA51" i="11"/>
  <c r="AU51" i="11"/>
  <c r="BI44" i="11"/>
  <c r="CB44" i="11"/>
  <c r="BY44" i="11"/>
  <c r="BZ43" i="11"/>
  <c r="BR43" i="11"/>
  <c r="BB43" i="11"/>
  <c r="AT43" i="11"/>
  <c r="CD43" i="11"/>
  <c r="BN43" i="11"/>
  <c r="BF43" i="11"/>
  <c r="AP43" i="11"/>
  <c r="BV43" i="11"/>
  <c r="BJ43" i="11"/>
  <c r="AX43" i="11"/>
  <c r="AL43" i="11"/>
  <c r="CD47" i="11"/>
  <c r="BV47" i="11"/>
  <c r="BN47" i="11"/>
  <c r="BB47" i="11"/>
  <c r="AT47" i="11"/>
  <c r="BZ47" i="11"/>
  <c r="BR47" i="11"/>
  <c r="BJ47" i="11"/>
  <c r="AX47" i="11"/>
  <c r="AP47" i="11"/>
  <c r="BF47" i="11"/>
  <c r="AL47" i="11"/>
  <c r="CG50" i="11"/>
  <c r="BY50" i="11"/>
  <c r="BQ50" i="11"/>
  <c r="BI50" i="11"/>
  <c r="BA50" i="11"/>
  <c r="AS50" i="11"/>
  <c r="AK50" i="11"/>
  <c r="CC50" i="11"/>
  <c r="BU50" i="11"/>
  <c r="BM50" i="11"/>
  <c r="BE50" i="11"/>
  <c r="AW50" i="11"/>
  <c r="AO50" i="11"/>
  <c r="CE51" i="11"/>
  <c r="BO51" i="11"/>
  <c r="AY51" i="11"/>
  <c r="AI51" i="11"/>
  <c r="BR50" i="11"/>
  <c r="BB50" i="11"/>
  <c r="AL50" i="11"/>
  <c r="CA47" i="11"/>
  <c r="BK47" i="11"/>
  <c r="AU47" i="11"/>
  <c r="CD46" i="11"/>
  <c r="BN46" i="11"/>
  <c r="AX46" i="11"/>
  <c r="CE43" i="11"/>
  <c r="BO43" i="11"/>
  <c r="AY43" i="11"/>
  <c r="AI43" i="11"/>
  <c r="BT51" i="11"/>
  <c r="BD51" i="11"/>
  <c r="AN51" i="11"/>
  <c r="BW50" i="11"/>
  <c r="BG50" i="11"/>
  <c r="AQ50" i="11"/>
  <c r="CB47" i="11"/>
  <c r="BL47" i="11"/>
  <c r="AV47" i="11"/>
  <c r="CE46" i="11"/>
  <c r="BO46" i="11"/>
  <c r="AY46" i="11"/>
  <c r="AI46" i="11"/>
  <c r="BT43" i="11"/>
  <c r="BD43" i="11"/>
  <c r="AN43" i="11"/>
  <c r="BY51" i="11"/>
  <c r="BI51" i="11"/>
  <c r="CB50" i="11"/>
  <c r="BL50" i="11"/>
  <c r="AV50" i="11"/>
  <c r="CG47" i="11"/>
  <c r="BQ47" i="11"/>
  <c r="BA47" i="11"/>
  <c r="AK47" i="11"/>
  <c r="BT46" i="11"/>
  <c r="BD46" i="11"/>
  <c r="AN46" i="11"/>
  <c r="BY43" i="11"/>
  <c r="BI43" i="11"/>
  <c r="AS43" i="11"/>
  <c r="BZ51" i="11"/>
  <c r="BV51" i="11"/>
  <c r="BN51" i="11"/>
  <c r="BF51" i="11"/>
  <c r="AT51" i="11"/>
  <c r="AL51" i="11"/>
  <c r="CD51" i="11"/>
  <c r="BR51" i="11"/>
  <c r="BJ51" i="11"/>
  <c r="BB51" i="11"/>
  <c r="AX51" i="11"/>
  <c r="AP51" i="11"/>
  <c r="BS51" i="11"/>
  <c r="BC51" i="11"/>
  <c r="AM51" i="11"/>
  <c r="BV50" i="11"/>
  <c r="BF50" i="11"/>
  <c r="AP50" i="11"/>
  <c r="CE47" i="11"/>
  <c r="BO47" i="11"/>
  <c r="AY47" i="11"/>
  <c r="AI47" i="11"/>
  <c r="BR46" i="11"/>
  <c r="BB46" i="11"/>
  <c r="AL46" i="11"/>
  <c r="BS43" i="11"/>
  <c r="BC43" i="11"/>
  <c r="AM43" i="11"/>
  <c r="BX51" i="11"/>
  <c r="BH51" i="11"/>
  <c r="AR51" i="11"/>
  <c r="CA50" i="11"/>
  <c r="BK50" i="11"/>
  <c r="AU50" i="11"/>
  <c r="CF47" i="11"/>
  <c r="BP47" i="11"/>
  <c r="AZ47" i="11"/>
  <c r="AJ47" i="11"/>
  <c r="BS46" i="11"/>
  <c r="BC46" i="11"/>
  <c r="AM46" i="11"/>
  <c r="BX43" i="11"/>
  <c r="BH43" i="11"/>
  <c r="AR43" i="11"/>
  <c r="CC51" i="11"/>
  <c r="BM51" i="11"/>
  <c r="AW51" i="11"/>
  <c r="CF50" i="11"/>
  <c r="BP50" i="11"/>
  <c r="AZ50" i="11"/>
  <c r="AJ50" i="11"/>
  <c r="BU47" i="11"/>
  <c r="BE47" i="11"/>
  <c r="AO47" i="11"/>
  <c r="BX46" i="11"/>
  <c r="BH46" i="11"/>
  <c r="AR46" i="11"/>
  <c r="CC43" i="11"/>
  <c r="BM43" i="11"/>
  <c r="AW43" i="11"/>
  <c r="BS47" i="11"/>
  <c r="BC47" i="11"/>
  <c r="AM47" i="11"/>
  <c r="BV46" i="11"/>
  <c r="BF46" i="11"/>
  <c r="AP46" i="11"/>
  <c r="BW43" i="11"/>
  <c r="BG43" i="11"/>
  <c r="AQ43" i="11"/>
  <c r="CB51" i="11"/>
  <c r="BL51" i="11"/>
  <c r="AV51" i="11"/>
  <c r="CE50" i="11"/>
  <c r="BO50" i="11"/>
  <c r="AY50" i="11"/>
  <c r="AI50" i="11"/>
  <c r="BT47" i="11"/>
  <c r="BD47" i="11"/>
  <c r="AN47" i="11"/>
  <c r="BW46" i="11"/>
  <c r="BG46" i="11"/>
  <c r="AQ46" i="11"/>
  <c r="CB43" i="11"/>
  <c r="BL43" i="11"/>
  <c r="AV43" i="11"/>
  <c r="CG51" i="11"/>
  <c r="BQ51" i="11"/>
  <c r="BA51" i="11"/>
  <c r="AK51" i="11"/>
  <c r="BT50" i="11"/>
  <c r="BD50" i="11"/>
  <c r="AN50" i="11"/>
  <c r="BY47" i="11"/>
  <c r="BI47" i="11"/>
  <c r="AS47" i="11"/>
  <c r="CB46" i="11"/>
  <c r="BL46" i="11"/>
  <c r="CG43" i="11"/>
  <c r="BQ43" i="11"/>
  <c r="BA43" i="11"/>
  <c r="AK43" i="11"/>
  <c r="CC46" i="11"/>
  <c r="BQ46" i="11"/>
  <c r="BE46" i="11"/>
  <c r="AS46" i="11"/>
  <c r="BY46" i="11"/>
  <c r="BM46" i="11"/>
  <c r="BA46" i="11"/>
  <c r="AK46" i="11"/>
  <c r="CG46" i="11"/>
  <c r="BU46" i="11"/>
  <c r="BI46" i="11"/>
  <c r="AW46" i="11"/>
  <c r="AO46" i="11"/>
  <c r="BW47" i="11"/>
  <c r="BG47" i="11"/>
  <c r="AQ47" i="11"/>
  <c r="BZ46" i="11"/>
  <c r="BJ46" i="11"/>
  <c r="AT46" i="11"/>
  <c r="CA43" i="11"/>
  <c r="BK43" i="11"/>
  <c r="AU43" i="11"/>
  <c r="CF51" i="11"/>
  <c r="BP51" i="11"/>
  <c r="AZ51" i="11"/>
  <c r="AJ51" i="11"/>
  <c r="BS50" i="11"/>
  <c r="BC50" i="11"/>
  <c r="AM50" i="11"/>
  <c r="BX47" i="11"/>
  <c r="BH47" i="11"/>
  <c r="AR47" i="11"/>
  <c r="CA46" i="11"/>
  <c r="BK46" i="11"/>
  <c r="AU46" i="11"/>
  <c r="CF43" i="11"/>
  <c r="BP43" i="11"/>
  <c r="AZ43" i="11"/>
  <c r="AJ43" i="11"/>
  <c r="BU51" i="11"/>
  <c r="BE51" i="11"/>
  <c r="AO51" i="11"/>
  <c r="BX50" i="11"/>
  <c r="BH50" i="11"/>
  <c r="AR50" i="11"/>
  <c r="CC47" i="11"/>
  <c r="BM47" i="11"/>
  <c r="AW47" i="11"/>
  <c r="CF46" i="11"/>
  <c r="BP46" i="11"/>
  <c r="AZ46" i="11"/>
  <c r="AJ46" i="11"/>
  <c r="BU43" i="11"/>
  <c r="BE43" i="11"/>
  <c r="AO43" i="11"/>
  <c r="L16" i="9"/>
  <c r="K18" i="9"/>
  <c r="H117" i="9"/>
  <c r="H116" i="9"/>
  <c r="H115" i="9"/>
  <c r="H114" i="9"/>
  <c r="F113" i="9"/>
  <c r="C113" i="9"/>
  <c r="H112" i="9"/>
  <c r="H111" i="9"/>
  <c r="H110" i="9"/>
  <c r="H105" i="9"/>
  <c r="H100" i="9"/>
  <c r="H99" i="9"/>
  <c r="H98" i="9"/>
  <c r="S86" i="9"/>
  <c r="R86" i="9"/>
  <c r="Q86" i="9"/>
  <c r="P86" i="9"/>
  <c r="O86" i="9"/>
  <c r="S85" i="9"/>
  <c r="R85" i="9"/>
  <c r="Q85" i="9"/>
  <c r="P85" i="9"/>
  <c r="O85" i="9"/>
  <c r="S84" i="9"/>
  <c r="R84" i="9"/>
  <c r="Q84" i="9"/>
  <c r="P84" i="9"/>
  <c r="O84" i="9"/>
  <c r="S83" i="9"/>
  <c r="R83" i="9"/>
  <c r="Q83" i="9"/>
  <c r="P83" i="9"/>
  <c r="O83" i="9"/>
  <c r="S82" i="9"/>
  <c r="R82" i="9"/>
  <c r="Q82" i="9"/>
  <c r="P82" i="9"/>
  <c r="O82" i="9"/>
  <c r="S81" i="9"/>
  <c r="R81" i="9"/>
  <c r="Q81" i="9"/>
  <c r="P81" i="9"/>
  <c r="O81" i="9"/>
  <c r="S80" i="9"/>
  <c r="R80" i="9"/>
  <c r="Q80" i="9"/>
  <c r="P80" i="9"/>
  <c r="O80" i="9"/>
  <c r="S79" i="9"/>
  <c r="R79" i="9"/>
  <c r="Q79" i="9"/>
  <c r="P79" i="9"/>
  <c r="O79" i="9"/>
  <c r="E79" i="9"/>
  <c r="S78" i="9"/>
  <c r="R78" i="9"/>
  <c r="Q78" i="9"/>
  <c r="P78" i="9"/>
  <c r="U74" i="9"/>
  <c r="O78" i="9"/>
  <c r="S77" i="9"/>
  <c r="R77" i="9"/>
  <c r="Q77" i="9"/>
  <c r="P77" i="9"/>
  <c r="O77" i="9"/>
  <c r="U75" i="9"/>
  <c r="U72" i="9"/>
  <c r="U71" i="9"/>
  <c r="U70" i="9"/>
  <c r="U69" i="9"/>
  <c r="B69" i="9"/>
  <c r="U68" i="9"/>
  <c r="U67" i="9"/>
  <c r="U66" i="9"/>
  <c r="H65" i="9"/>
  <c r="F65" i="9"/>
  <c r="E65" i="9"/>
  <c r="H64" i="9"/>
  <c r="F64" i="9"/>
  <c r="E64" i="9"/>
  <c r="F63" i="9"/>
  <c r="E63" i="9"/>
  <c r="D63" i="9"/>
  <c r="H63" i="9"/>
  <c r="F58" i="9"/>
  <c r="E58" i="9"/>
  <c r="D58" i="9"/>
  <c r="H58" i="9"/>
  <c r="F56" i="9"/>
  <c r="E56" i="9"/>
  <c r="D56" i="9"/>
  <c r="H56" i="9"/>
  <c r="S38" i="9"/>
  <c r="S52" i="9"/>
  <c r="S64" i="9"/>
  <c r="R38" i="9"/>
  <c r="R52" i="9"/>
  <c r="R64" i="9"/>
  <c r="Q38" i="9"/>
  <c r="Q52" i="9"/>
  <c r="Q64" i="9"/>
  <c r="P38" i="9"/>
  <c r="P52" i="9"/>
  <c r="P64" i="9"/>
  <c r="O38" i="9"/>
  <c r="O52" i="9"/>
  <c r="O64" i="9"/>
  <c r="S37" i="9"/>
  <c r="S51" i="9"/>
  <c r="S63" i="9"/>
  <c r="R37" i="9"/>
  <c r="R51" i="9"/>
  <c r="R63" i="9"/>
  <c r="Q37" i="9"/>
  <c r="Q51" i="9"/>
  <c r="Q63" i="9"/>
  <c r="P37" i="9"/>
  <c r="P51" i="9"/>
  <c r="P63" i="9"/>
  <c r="O37" i="9"/>
  <c r="O51" i="9"/>
  <c r="O63" i="9"/>
  <c r="S36" i="9"/>
  <c r="S50" i="9"/>
  <c r="S62" i="9"/>
  <c r="R36" i="9"/>
  <c r="R50" i="9"/>
  <c r="R62" i="9"/>
  <c r="Q36" i="9"/>
  <c r="Q50" i="9"/>
  <c r="Q62" i="9"/>
  <c r="P36" i="9"/>
  <c r="P50" i="9"/>
  <c r="P62" i="9"/>
  <c r="O36" i="9"/>
  <c r="O50" i="9"/>
  <c r="O62" i="9"/>
  <c r="S35" i="9"/>
  <c r="S49" i="9"/>
  <c r="S61" i="9"/>
  <c r="R35" i="9"/>
  <c r="R49" i="9"/>
  <c r="R61" i="9"/>
  <c r="Q35" i="9"/>
  <c r="Q49" i="9"/>
  <c r="Q61" i="9"/>
  <c r="P35" i="9"/>
  <c r="P49" i="9"/>
  <c r="P61" i="9"/>
  <c r="O35" i="9"/>
  <c r="O49" i="9"/>
  <c r="O61" i="9"/>
  <c r="S34" i="9"/>
  <c r="S48" i="9"/>
  <c r="S60" i="9"/>
  <c r="R34" i="9"/>
  <c r="R48" i="9"/>
  <c r="R60" i="9"/>
  <c r="Q34" i="9"/>
  <c r="Q48" i="9"/>
  <c r="Q60" i="9"/>
  <c r="P34" i="9"/>
  <c r="P48" i="9"/>
  <c r="P60" i="9"/>
  <c r="O34" i="9"/>
  <c r="O48" i="9"/>
  <c r="O60" i="9"/>
  <c r="S33" i="9"/>
  <c r="S47" i="9"/>
  <c r="S59" i="9"/>
  <c r="R33" i="9"/>
  <c r="R47" i="9"/>
  <c r="R59" i="9"/>
  <c r="Q33" i="9"/>
  <c r="Q47" i="9"/>
  <c r="Q59" i="9"/>
  <c r="P33" i="9"/>
  <c r="P47" i="9"/>
  <c r="P59" i="9"/>
  <c r="O33" i="9"/>
  <c r="O47" i="9"/>
  <c r="O59" i="9"/>
  <c r="S32" i="9"/>
  <c r="S46" i="9"/>
  <c r="S58" i="9"/>
  <c r="R32" i="9"/>
  <c r="R46" i="9"/>
  <c r="R58" i="9"/>
  <c r="Q32" i="9"/>
  <c r="Q46" i="9"/>
  <c r="Q58" i="9"/>
  <c r="P32" i="9"/>
  <c r="P46" i="9"/>
  <c r="P58" i="9"/>
  <c r="O32" i="9"/>
  <c r="O46" i="9"/>
  <c r="O58" i="9"/>
  <c r="S31" i="9"/>
  <c r="S45" i="9"/>
  <c r="S57" i="9"/>
  <c r="R31" i="9"/>
  <c r="R45" i="9"/>
  <c r="R57" i="9"/>
  <c r="Q31" i="9"/>
  <c r="Q45" i="9"/>
  <c r="Q57" i="9"/>
  <c r="P31" i="9"/>
  <c r="P45" i="9"/>
  <c r="P57" i="9"/>
  <c r="O31" i="9"/>
  <c r="O45" i="9"/>
  <c r="O57" i="9"/>
  <c r="S30" i="9"/>
  <c r="S44" i="9"/>
  <c r="S56" i="9"/>
  <c r="R30" i="9"/>
  <c r="R44" i="9"/>
  <c r="R56" i="9"/>
  <c r="Q30" i="9"/>
  <c r="Q44" i="9"/>
  <c r="Q56" i="9"/>
  <c r="P30" i="9"/>
  <c r="P44" i="9"/>
  <c r="P56" i="9"/>
  <c r="O30" i="9"/>
  <c r="O44" i="9"/>
  <c r="O56" i="9"/>
  <c r="S29" i="9"/>
  <c r="S43" i="9"/>
  <c r="S55" i="9"/>
  <c r="R29" i="9"/>
  <c r="R43" i="9"/>
  <c r="R55" i="9"/>
  <c r="Q29" i="9"/>
  <c r="Q43" i="9"/>
  <c r="Q55" i="9"/>
  <c r="P29" i="9"/>
  <c r="P43" i="9"/>
  <c r="P55" i="9"/>
  <c r="O29" i="9"/>
  <c r="O43" i="9"/>
  <c r="O55" i="9"/>
  <c r="K16" i="9"/>
  <c r="AA24" i="9"/>
  <c r="Y24" i="9"/>
  <c r="X24" i="9"/>
  <c r="L24" i="9"/>
  <c r="K24" i="9"/>
  <c r="AA23" i="9"/>
  <c r="Y23" i="9"/>
  <c r="X23" i="9"/>
  <c r="L23" i="9"/>
  <c r="K23" i="9"/>
  <c r="AA22" i="9"/>
  <c r="Y22" i="9"/>
  <c r="X22" i="9"/>
  <c r="L22" i="9"/>
  <c r="K22" i="9"/>
  <c r="L21" i="9"/>
  <c r="L20" i="9"/>
  <c r="L19" i="9"/>
  <c r="L18" i="9"/>
  <c r="AA17" i="9"/>
  <c r="Y17" i="9"/>
  <c r="X17" i="9"/>
  <c r="L17" i="9"/>
  <c r="K17" i="9"/>
  <c r="L15" i="9"/>
  <c r="K15" i="9"/>
  <c r="R2" i="9"/>
  <c r="R4" i="9"/>
  <c r="AA26" i="7"/>
  <c r="Y26" i="7"/>
  <c r="X26" i="7"/>
  <c r="AA24" i="7"/>
  <c r="AA19" i="7"/>
  <c r="AA23" i="7"/>
  <c r="AA22" i="7"/>
  <c r="AA25" i="7"/>
  <c r="AA21" i="7"/>
  <c r="AA20" i="7"/>
  <c r="X25" i="7"/>
  <c r="Y25" i="7"/>
  <c r="S40" i="7"/>
  <c r="R40" i="7"/>
  <c r="R54" i="7"/>
  <c r="R66" i="7"/>
  <c r="Q40" i="7"/>
  <c r="P40" i="7"/>
  <c r="P54" i="7"/>
  <c r="P66" i="7"/>
  <c r="O40" i="7"/>
  <c r="P39" i="7"/>
  <c r="Q39" i="7"/>
  <c r="Q53" i="7"/>
  <c r="Q65" i="7"/>
  <c r="O39" i="7"/>
  <c r="K27" i="7"/>
  <c r="L26" i="7"/>
  <c r="K26" i="7"/>
  <c r="K2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B6" i="7"/>
  <c r="H121" i="7"/>
  <c r="H120" i="7"/>
  <c r="H119" i="7"/>
  <c r="H118" i="7"/>
  <c r="H117" i="7"/>
  <c r="H116" i="7"/>
  <c r="F115" i="7"/>
  <c r="C115" i="7"/>
  <c r="B115" i="7"/>
  <c r="H115" i="7"/>
  <c r="H114" i="7"/>
  <c r="H113" i="7"/>
  <c r="H112" i="7"/>
  <c r="H109" i="7"/>
  <c r="H108" i="7"/>
  <c r="H107" i="7"/>
  <c r="F106" i="7"/>
  <c r="C106" i="7"/>
  <c r="F105" i="7"/>
  <c r="C105" i="7"/>
  <c r="B105" i="7"/>
  <c r="H105" i="7"/>
  <c r="F104" i="7"/>
  <c r="F103" i="7"/>
  <c r="B103" i="7"/>
  <c r="H103" i="7"/>
  <c r="H102" i="7"/>
  <c r="H101" i="7"/>
  <c r="H100" i="7"/>
  <c r="S88" i="7"/>
  <c r="R88" i="7"/>
  <c r="Q88" i="7"/>
  <c r="P88" i="7"/>
  <c r="O88" i="7"/>
  <c r="S87" i="7"/>
  <c r="R87" i="7"/>
  <c r="Q87" i="7"/>
  <c r="P87" i="7"/>
  <c r="O87" i="7"/>
  <c r="S86" i="7"/>
  <c r="R86" i="7"/>
  <c r="Q86" i="7"/>
  <c r="P86" i="7"/>
  <c r="O86" i="7"/>
  <c r="S85" i="7"/>
  <c r="R85" i="7"/>
  <c r="Q85" i="7"/>
  <c r="P85" i="7"/>
  <c r="O85" i="7"/>
  <c r="S84" i="7"/>
  <c r="R84" i="7"/>
  <c r="Q84" i="7"/>
  <c r="P84" i="7"/>
  <c r="O84" i="7"/>
  <c r="S83" i="7"/>
  <c r="R83" i="7"/>
  <c r="Q83" i="7"/>
  <c r="P83" i="7"/>
  <c r="O83" i="7"/>
  <c r="S82" i="7"/>
  <c r="R82" i="7"/>
  <c r="Q82" i="7"/>
  <c r="P82" i="7"/>
  <c r="O82" i="7"/>
  <c r="S81" i="7"/>
  <c r="R81" i="7"/>
  <c r="Q81" i="7"/>
  <c r="P81" i="7"/>
  <c r="O81" i="7"/>
  <c r="E81" i="7"/>
  <c r="S80" i="7"/>
  <c r="R80" i="7"/>
  <c r="Q80" i="7"/>
  <c r="P80" i="7"/>
  <c r="O80" i="7"/>
  <c r="S79" i="7"/>
  <c r="R79" i="7"/>
  <c r="Q79" i="7"/>
  <c r="P79" i="7"/>
  <c r="O79" i="7"/>
  <c r="U77" i="7"/>
  <c r="U76" i="7"/>
  <c r="U75" i="7"/>
  <c r="U74" i="7"/>
  <c r="U73" i="7"/>
  <c r="U72" i="7"/>
  <c r="B72" i="7"/>
  <c r="U71" i="7"/>
  <c r="B71" i="7"/>
  <c r="U70" i="7"/>
  <c r="U69" i="7"/>
  <c r="U68" i="7"/>
  <c r="F67" i="7"/>
  <c r="E67" i="7"/>
  <c r="H67" i="7"/>
  <c r="F66" i="7"/>
  <c r="E66" i="7"/>
  <c r="H66" i="7"/>
  <c r="F65" i="7"/>
  <c r="E65" i="7"/>
  <c r="D65" i="7"/>
  <c r="H65" i="7"/>
  <c r="D64" i="7"/>
  <c r="H64" i="7"/>
  <c r="F64" i="7"/>
  <c r="E64" i="7"/>
  <c r="F63" i="7"/>
  <c r="E63" i="7"/>
  <c r="D63" i="7"/>
  <c r="H63" i="7"/>
  <c r="F62" i="7"/>
  <c r="E62" i="7"/>
  <c r="D62" i="7"/>
  <c r="H62" i="7"/>
  <c r="F61" i="7"/>
  <c r="E61" i="7"/>
  <c r="D61" i="7"/>
  <c r="H61" i="7"/>
  <c r="F60" i="7"/>
  <c r="E60" i="7"/>
  <c r="D60" i="7"/>
  <c r="H60" i="7"/>
  <c r="F59" i="7"/>
  <c r="E59" i="7"/>
  <c r="D59" i="7"/>
  <c r="H59" i="7"/>
  <c r="F58" i="7"/>
  <c r="E58" i="7"/>
  <c r="D58" i="7"/>
  <c r="H58" i="7"/>
  <c r="O53" i="7"/>
  <c r="O65" i="7"/>
  <c r="S38" i="7"/>
  <c r="S52" i="7"/>
  <c r="S64" i="7"/>
  <c r="Q37" i="7"/>
  <c r="Q51" i="7"/>
  <c r="Q63" i="7"/>
  <c r="P37" i="7"/>
  <c r="P51" i="7"/>
  <c r="P63" i="7"/>
  <c r="B51" i="7"/>
  <c r="B50" i="7"/>
  <c r="R35" i="7"/>
  <c r="R49" i="7"/>
  <c r="R61" i="7"/>
  <c r="Q35" i="7"/>
  <c r="Q49" i="7"/>
  <c r="Q61" i="7"/>
  <c r="O34" i="7"/>
  <c r="O48" i="7"/>
  <c r="O60" i="7"/>
  <c r="S47" i="7"/>
  <c r="S59" i="7"/>
  <c r="Q32" i="7"/>
  <c r="Q46" i="7"/>
  <c r="Q58" i="7"/>
  <c r="P32" i="7"/>
  <c r="P46" i="7"/>
  <c r="P58" i="7"/>
  <c r="S54" i="7"/>
  <c r="S66" i="7"/>
  <c r="Q54" i="7"/>
  <c r="Q66" i="7"/>
  <c r="O54" i="7"/>
  <c r="O66" i="7"/>
  <c r="S53" i="7"/>
  <c r="S65" i="7"/>
  <c r="R53" i="7"/>
  <c r="R65" i="7"/>
  <c r="P53" i="7"/>
  <c r="P65" i="7"/>
  <c r="R38" i="7"/>
  <c r="R52" i="7"/>
  <c r="R64" i="7"/>
  <c r="Q38" i="7"/>
  <c r="Q52" i="7"/>
  <c r="Q64" i="7"/>
  <c r="P38" i="7"/>
  <c r="P52" i="7"/>
  <c r="P64" i="7"/>
  <c r="O38" i="7"/>
  <c r="O52" i="7"/>
  <c r="O64" i="7"/>
  <c r="S37" i="7"/>
  <c r="S51" i="7"/>
  <c r="S63" i="7"/>
  <c r="R37" i="7"/>
  <c r="R51" i="7"/>
  <c r="R63" i="7"/>
  <c r="O37" i="7"/>
  <c r="O51" i="7"/>
  <c r="O63" i="7"/>
  <c r="S36" i="7"/>
  <c r="S50" i="7"/>
  <c r="S62" i="7"/>
  <c r="R36" i="7"/>
  <c r="R50" i="7"/>
  <c r="R62" i="7"/>
  <c r="Q36" i="7"/>
  <c r="Q50" i="7"/>
  <c r="Q62" i="7"/>
  <c r="P36" i="7"/>
  <c r="P50" i="7"/>
  <c r="P62" i="7"/>
  <c r="O36" i="7"/>
  <c r="O50" i="7"/>
  <c r="O62" i="7"/>
  <c r="S35" i="7"/>
  <c r="S49" i="7"/>
  <c r="S61" i="7"/>
  <c r="P35" i="7"/>
  <c r="P49" i="7"/>
  <c r="P61" i="7"/>
  <c r="O35" i="7"/>
  <c r="O49" i="7"/>
  <c r="O61" i="7"/>
  <c r="S34" i="7"/>
  <c r="S48" i="7"/>
  <c r="S60" i="7"/>
  <c r="R34" i="7"/>
  <c r="R48" i="7"/>
  <c r="R60" i="7"/>
  <c r="Q34" i="7"/>
  <c r="Q48" i="7"/>
  <c r="Q60" i="7"/>
  <c r="P34" i="7"/>
  <c r="P48" i="7"/>
  <c r="P60" i="7"/>
  <c r="R47" i="7"/>
  <c r="R59" i="7"/>
  <c r="Q47" i="7"/>
  <c r="Q59" i="7"/>
  <c r="P33" i="7"/>
  <c r="P47" i="7"/>
  <c r="P59" i="7"/>
  <c r="O33" i="7"/>
  <c r="O47" i="7"/>
  <c r="O59" i="7"/>
  <c r="S32" i="7"/>
  <c r="S46" i="7"/>
  <c r="S58" i="7"/>
  <c r="R32" i="7"/>
  <c r="R46" i="7"/>
  <c r="R58" i="7"/>
  <c r="O32" i="7"/>
  <c r="O46" i="7"/>
  <c r="O58" i="7"/>
  <c r="S31" i="7"/>
  <c r="S45" i="7"/>
  <c r="S57" i="7"/>
  <c r="R31" i="7"/>
  <c r="R45" i="7"/>
  <c r="R57" i="7"/>
  <c r="Q31" i="7"/>
  <c r="Q45" i="7"/>
  <c r="Q57" i="7"/>
  <c r="P31" i="7"/>
  <c r="P45" i="7"/>
  <c r="P57" i="7"/>
  <c r="O31" i="7"/>
  <c r="O45" i="7"/>
  <c r="O57" i="7"/>
  <c r="L25" i="7"/>
  <c r="Y24" i="7"/>
  <c r="X24" i="7"/>
  <c r="L24" i="7"/>
  <c r="K24" i="7"/>
  <c r="Y23" i="7"/>
  <c r="X23" i="7"/>
  <c r="L23" i="7"/>
  <c r="K23" i="7"/>
  <c r="Y22" i="7"/>
  <c r="X22" i="7"/>
  <c r="L22" i="7"/>
  <c r="K22" i="7"/>
  <c r="Y21" i="7"/>
  <c r="X21" i="7"/>
  <c r="L21" i="7"/>
  <c r="K21" i="7"/>
  <c r="Y20" i="7"/>
  <c r="X20" i="7"/>
  <c r="L20" i="7"/>
  <c r="K20" i="7"/>
  <c r="Y19" i="7"/>
  <c r="X19" i="7"/>
  <c r="L19" i="7"/>
  <c r="K19" i="7"/>
  <c r="L18" i="7"/>
  <c r="K18" i="7"/>
  <c r="L17" i="7"/>
  <c r="K17" i="7"/>
  <c r="R2" i="7"/>
  <c r="R4" i="7"/>
  <c r="AI56" i="5"/>
  <c r="AU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AI39" i="5"/>
  <c r="AK39" i="5"/>
  <c r="AU51" i="5"/>
  <c r="BK51" i="5"/>
  <c r="CA51" i="5"/>
  <c r="AI5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AI35" i="5"/>
  <c r="AK35" i="5"/>
  <c r="AM51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AI47" i="5"/>
  <c r="AJ47" i="5"/>
  <c r="AN47" i="5"/>
  <c r="AR47" i="5"/>
  <c r="AV47" i="5"/>
  <c r="AZ47" i="5"/>
  <c r="BD47" i="5"/>
  <c r="BH47" i="5"/>
  <c r="BL47" i="5"/>
  <c r="BP47" i="5"/>
  <c r="BT47" i="5"/>
  <c r="BX47" i="5"/>
  <c r="CB47" i="5"/>
  <c r="CF47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AJ51" i="5"/>
  <c r="AK51" i="5"/>
  <c r="AN51" i="5"/>
  <c r="AO51" i="5"/>
  <c r="AQ51" i="5"/>
  <c r="AR51" i="5"/>
  <c r="AS51" i="5"/>
  <c r="AV51" i="5"/>
  <c r="AW51" i="5"/>
  <c r="AZ51" i="5"/>
  <c r="BA51" i="5"/>
  <c r="BD51" i="5"/>
  <c r="BE51" i="5"/>
  <c r="BG51" i="5"/>
  <c r="BH51" i="5"/>
  <c r="BI51" i="5"/>
  <c r="BL51" i="5"/>
  <c r="BM51" i="5"/>
  <c r="BP51" i="5"/>
  <c r="BQ51" i="5"/>
  <c r="BT51" i="5"/>
  <c r="BU51" i="5"/>
  <c r="BW51" i="5"/>
  <c r="BX51" i="5"/>
  <c r="BY51" i="5"/>
  <c r="CB51" i="5"/>
  <c r="CC51" i="5"/>
  <c r="CF51" i="5"/>
  <c r="CG51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AI17" i="5"/>
  <c r="M5" i="4"/>
  <c r="M5" i="5"/>
  <c r="N5" i="4"/>
  <c r="N5" i="5"/>
  <c r="O5" i="4"/>
  <c r="O5" i="5"/>
  <c r="P5" i="4"/>
  <c r="P5" i="5"/>
  <c r="Q5" i="4"/>
  <c r="Q5" i="5"/>
  <c r="R5" i="4"/>
  <c r="R5" i="5"/>
  <c r="S5" i="4"/>
  <c r="S5" i="5"/>
  <c r="T5" i="4"/>
  <c r="T5" i="5"/>
  <c r="U5" i="4"/>
  <c r="U5" i="5"/>
  <c r="V5" i="4"/>
  <c r="V5" i="5"/>
  <c r="M6" i="4"/>
  <c r="M6" i="5"/>
  <c r="N6" i="4"/>
  <c r="N6" i="5"/>
  <c r="O6" i="4"/>
  <c r="O6" i="5"/>
  <c r="P6" i="4"/>
  <c r="P6" i="5"/>
  <c r="Q6" i="4"/>
  <c r="Q6" i="5"/>
  <c r="R6" i="4"/>
  <c r="R6" i="5"/>
  <c r="S6" i="4"/>
  <c r="S6" i="5"/>
  <c r="T6" i="4"/>
  <c r="T6" i="5"/>
  <c r="U6" i="4"/>
  <c r="U6" i="5"/>
  <c r="V6" i="4"/>
  <c r="V6" i="5"/>
  <c r="M7" i="4"/>
  <c r="M7" i="5"/>
  <c r="N7" i="4"/>
  <c r="N7" i="5"/>
  <c r="O7" i="4"/>
  <c r="O7" i="5"/>
  <c r="P7" i="4"/>
  <c r="P7" i="5"/>
  <c r="Q7" i="4"/>
  <c r="Q7" i="5"/>
  <c r="R7" i="4"/>
  <c r="R7" i="5"/>
  <c r="S7" i="4"/>
  <c r="S7" i="5"/>
  <c r="T7" i="4"/>
  <c r="T7" i="5"/>
  <c r="U7" i="4"/>
  <c r="U7" i="5"/>
  <c r="V7" i="4"/>
  <c r="V7" i="5"/>
  <c r="M8" i="4"/>
  <c r="M8" i="5"/>
  <c r="N8" i="4"/>
  <c r="N8" i="5"/>
  <c r="O8" i="4"/>
  <c r="O8" i="5"/>
  <c r="P8" i="4"/>
  <c r="P8" i="5"/>
  <c r="Q8" i="4"/>
  <c r="Q8" i="5"/>
  <c r="R8" i="4"/>
  <c r="R8" i="5"/>
  <c r="S8" i="4"/>
  <c r="S8" i="5"/>
  <c r="T8" i="4"/>
  <c r="T8" i="5"/>
  <c r="U8" i="4"/>
  <c r="U8" i="5"/>
  <c r="V8" i="4"/>
  <c r="V8" i="5"/>
  <c r="M9" i="4"/>
  <c r="M9" i="5"/>
  <c r="N9" i="4"/>
  <c r="N9" i="5"/>
  <c r="O9" i="4"/>
  <c r="O9" i="5"/>
  <c r="P9" i="4"/>
  <c r="P9" i="5"/>
  <c r="Q9" i="4"/>
  <c r="Q9" i="5"/>
  <c r="R9" i="4"/>
  <c r="R9" i="5"/>
  <c r="S9" i="4"/>
  <c r="S9" i="5"/>
  <c r="T9" i="4"/>
  <c r="T9" i="5"/>
  <c r="U9" i="4"/>
  <c r="U9" i="5"/>
  <c r="V9" i="4"/>
  <c r="V9" i="5"/>
  <c r="M10" i="4"/>
  <c r="M10" i="5"/>
  <c r="N10" i="4"/>
  <c r="N10" i="5"/>
  <c r="O10" i="4"/>
  <c r="O10" i="5"/>
  <c r="P10" i="4"/>
  <c r="P10" i="5"/>
  <c r="Q10" i="4"/>
  <c r="Q10" i="5"/>
  <c r="R10" i="4"/>
  <c r="R10" i="5"/>
  <c r="S10" i="4"/>
  <c r="S10" i="5"/>
  <c r="T10" i="4"/>
  <c r="T10" i="5"/>
  <c r="U10" i="4"/>
  <c r="U10" i="5"/>
  <c r="V10" i="4"/>
  <c r="V10" i="5"/>
  <c r="M11" i="4"/>
  <c r="M11" i="5"/>
  <c r="N11" i="4"/>
  <c r="N11" i="5"/>
  <c r="O11" i="4"/>
  <c r="O11" i="5"/>
  <c r="P11" i="4"/>
  <c r="P11" i="5"/>
  <c r="Q11" i="4"/>
  <c r="Q11" i="5"/>
  <c r="R11" i="4"/>
  <c r="R11" i="5"/>
  <c r="S11" i="4"/>
  <c r="S11" i="5"/>
  <c r="T11" i="4"/>
  <c r="T11" i="5"/>
  <c r="U11" i="4"/>
  <c r="U11" i="5"/>
  <c r="V11" i="4"/>
  <c r="V11" i="5"/>
  <c r="M12" i="4"/>
  <c r="M12" i="5"/>
  <c r="N12" i="4"/>
  <c r="N12" i="5"/>
  <c r="O12" i="4"/>
  <c r="O12" i="5"/>
  <c r="P12" i="4"/>
  <c r="P12" i="5"/>
  <c r="Q12" i="4"/>
  <c r="Q12" i="5"/>
  <c r="R12" i="4"/>
  <c r="R12" i="5"/>
  <c r="S12" i="4"/>
  <c r="S12" i="5"/>
  <c r="T12" i="4"/>
  <c r="T12" i="5"/>
  <c r="U12" i="4"/>
  <c r="U12" i="5"/>
  <c r="V12" i="4"/>
  <c r="V12" i="5"/>
  <c r="M13" i="4"/>
  <c r="M13" i="5"/>
  <c r="N13" i="4"/>
  <c r="N13" i="5"/>
  <c r="O13" i="4"/>
  <c r="O13" i="5"/>
  <c r="P13" i="4"/>
  <c r="P13" i="5"/>
  <c r="Q13" i="4"/>
  <c r="Q13" i="5"/>
  <c r="R13" i="4"/>
  <c r="R13" i="5"/>
  <c r="S13" i="4"/>
  <c r="S13" i="5"/>
  <c r="T13" i="4"/>
  <c r="T13" i="5"/>
  <c r="U13" i="4"/>
  <c r="U13" i="5"/>
  <c r="V13" i="4"/>
  <c r="V13" i="5"/>
  <c r="M14" i="4"/>
  <c r="M14" i="5"/>
  <c r="N14" i="4"/>
  <c r="N14" i="5"/>
  <c r="O14" i="4"/>
  <c r="O14" i="5"/>
  <c r="P14" i="4"/>
  <c r="P14" i="5"/>
  <c r="Q14" i="4"/>
  <c r="Q14" i="5"/>
  <c r="R14" i="4"/>
  <c r="R14" i="5"/>
  <c r="S14" i="4"/>
  <c r="S14" i="5"/>
  <c r="T14" i="4"/>
  <c r="T14" i="5"/>
  <c r="U14" i="4"/>
  <c r="U14" i="5"/>
  <c r="V14" i="4"/>
  <c r="V14" i="5"/>
  <c r="M15" i="4"/>
  <c r="M15" i="5"/>
  <c r="N15" i="4"/>
  <c r="N15" i="5"/>
  <c r="O15" i="4"/>
  <c r="O15" i="5"/>
  <c r="P15" i="4"/>
  <c r="P15" i="5"/>
  <c r="Q15" i="4"/>
  <c r="Q15" i="5"/>
  <c r="R15" i="4"/>
  <c r="R15" i="5"/>
  <c r="S15" i="4"/>
  <c r="S15" i="5"/>
  <c r="T15" i="4"/>
  <c r="T15" i="5"/>
  <c r="U15" i="4"/>
  <c r="U15" i="5"/>
  <c r="V15" i="4"/>
  <c r="V15" i="5"/>
  <c r="M16" i="4"/>
  <c r="M16" i="5"/>
  <c r="N16" i="4"/>
  <c r="N16" i="5"/>
  <c r="O16" i="4"/>
  <c r="O16" i="5"/>
  <c r="P16" i="4"/>
  <c r="P16" i="5"/>
  <c r="Q16" i="4"/>
  <c r="Q16" i="5"/>
  <c r="R16" i="4"/>
  <c r="R16" i="5"/>
  <c r="S16" i="4"/>
  <c r="S16" i="5"/>
  <c r="T16" i="4"/>
  <c r="T16" i="5"/>
  <c r="U16" i="4"/>
  <c r="U16" i="5"/>
  <c r="V16" i="4"/>
  <c r="V16" i="5"/>
  <c r="M17" i="4"/>
  <c r="M17" i="5"/>
  <c r="N17" i="4"/>
  <c r="N17" i="5"/>
  <c r="O17" i="4"/>
  <c r="O17" i="5"/>
  <c r="P17" i="4"/>
  <c r="P17" i="5"/>
  <c r="Q17" i="4"/>
  <c r="Q17" i="5"/>
  <c r="R17" i="4"/>
  <c r="R17" i="5"/>
  <c r="S17" i="4"/>
  <c r="S17" i="5"/>
  <c r="T17" i="4"/>
  <c r="T17" i="5"/>
  <c r="U17" i="4"/>
  <c r="U17" i="5"/>
  <c r="V17" i="4"/>
  <c r="V17" i="5"/>
  <c r="M18" i="4"/>
  <c r="M18" i="5"/>
  <c r="N18" i="4"/>
  <c r="N18" i="5"/>
  <c r="O18" i="4"/>
  <c r="O18" i="5"/>
  <c r="P18" i="4"/>
  <c r="P18" i="5"/>
  <c r="Q18" i="4"/>
  <c r="Q18" i="5"/>
  <c r="R18" i="4"/>
  <c r="R18" i="5"/>
  <c r="S18" i="4"/>
  <c r="S18" i="5"/>
  <c r="T18" i="4"/>
  <c r="T18" i="5"/>
  <c r="U18" i="4"/>
  <c r="U18" i="5"/>
  <c r="V18" i="4"/>
  <c r="V18" i="5"/>
  <c r="M19" i="4"/>
  <c r="M19" i="5"/>
  <c r="N19" i="4"/>
  <c r="N19" i="5"/>
  <c r="O19" i="4"/>
  <c r="O19" i="5"/>
  <c r="P19" i="4"/>
  <c r="P19" i="5"/>
  <c r="Q19" i="4"/>
  <c r="Q19" i="5"/>
  <c r="R19" i="4"/>
  <c r="R19" i="5"/>
  <c r="S19" i="4"/>
  <c r="S19" i="5"/>
  <c r="T19" i="4"/>
  <c r="T19" i="5"/>
  <c r="U19" i="4"/>
  <c r="U19" i="5"/>
  <c r="V19" i="4"/>
  <c r="V19" i="5"/>
  <c r="M20" i="4"/>
  <c r="M20" i="5"/>
  <c r="N20" i="4"/>
  <c r="N20" i="5"/>
  <c r="O20" i="4"/>
  <c r="O20" i="5"/>
  <c r="P20" i="4"/>
  <c r="P20" i="5"/>
  <c r="Q20" i="4"/>
  <c r="Q20" i="5"/>
  <c r="R20" i="4"/>
  <c r="R20" i="5"/>
  <c r="S20" i="4"/>
  <c r="S20" i="5"/>
  <c r="T20" i="4"/>
  <c r="T20" i="5"/>
  <c r="U20" i="4"/>
  <c r="U20" i="5"/>
  <c r="V20" i="4"/>
  <c r="V20" i="5"/>
  <c r="M21" i="4"/>
  <c r="M21" i="5"/>
  <c r="N21" i="4"/>
  <c r="N21" i="5"/>
  <c r="O21" i="4"/>
  <c r="O21" i="5"/>
  <c r="P21" i="4"/>
  <c r="P21" i="5"/>
  <c r="Q21" i="4"/>
  <c r="Q21" i="5"/>
  <c r="R21" i="4"/>
  <c r="R21" i="5"/>
  <c r="S21" i="4"/>
  <c r="S21" i="5"/>
  <c r="T21" i="4"/>
  <c r="T21" i="5"/>
  <c r="U21" i="4"/>
  <c r="U21" i="5"/>
  <c r="V21" i="4"/>
  <c r="V21" i="5"/>
  <c r="M22" i="4"/>
  <c r="M22" i="5"/>
  <c r="N22" i="4"/>
  <c r="N22" i="5"/>
  <c r="O22" i="4"/>
  <c r="O22" i="5"/>
  <c r="P22" i="4"/>
  <c r="P22" i="5"/>
  <c r="Q22" i="4"/>
  <c r="Q22" i="5"/>
  <c r="R22" i="4"/>
  <c r="R22" i="5"/>
  <c r="S22" i="4"/>
  <c r="S22" i="5"/>
  <c r="T22" i="4"/>
  <c r="T22" i="5"/>
  <c r="U22" i="4"/>
  <c r="U22" i="5"/>
  <c r="V22" i="4"/>
  <c r="V22" i="5"/>
  <c r="M23" i="4"/>
  <c r="M23" i="5"/>
  <c r="N23" i="4"/>
  <c r="N23" i="5"/>
  <c r="O23" i="4"/>
  <c r="O23" i="5"/>
  <c r="P23" i="4"/>
  <c r="P23" i="5"/>
  <c r="Q23" i="4"/>
  <c r="Q23" i="5"/>
  <c r="R23" i="4"/>
  <c r="R23" i="5"/>
  <c r="S23" i="4"/>
  <c r="S23" i="5"/>
  <c r="T23" i="4"/>
  <c r="T23" i="5"/>
  <c r="U23" i="4"/>
  <c r="U23" i="5"/>
  <c r="V23" i="4"/>
  <c r="V23" i="5"/>
  <c r="M24" i="4"/>
  <c r="M24" i="5"/>
  <c r="N24" i="4"/>
  <c r="N24" i="5"/>
  <c r="O24" i="4"/>
  <c r="O24" i="5"/>
  <c r="P24" i="4"/>
  <c r="P24" i="5"/>
  <c r="Q24" i="4"/>
  <c r="Q24" i="5"/>
  <c r="R24" i="4"/>
  <c r="R24" i="5"/>
  <c r="S24" i="4"/>
  <c r="S24" i="5"/>
  <c r="T24" i="4"/>
  <c r="T24" i="5"/>
  <c r="U24" i="4"/>
  <c r="U24" i="5"/>
  <c r="V24" i="4"/>
  <c r="V24" i="5"/>
  <c r="M25" i="4"/>
  <c r="M25" i="5"/>
  <c r="N25" i="4"/>
  <c r="N25" i="5"/>
  <c r="O25" i="4"/>
  <c r="O25" i="5"/>
  <c r="P25" i="4"/>
  <c r="P25" i="5"/>
  <c r="Q25" i="4"/>
  <c r="Q25" i="5"/>
  <c r="R25" i="4"/>
  <c r="R25" i="5"/>
  <c r="S25" i="4"/>
  <c r="S25" i="5"/>
  <c r="T25" i="4"/>
  <c r="T25" i="5"/>
  <c r="U25" i="4"/>
  <c r="U25" i="5"/>
  <c r="V25" i="4"/>
  <c r="V25" i="5"/>
  <c r="M26" i="4"/>
  <c r="M26" i="5"/>
  <c r="N26" i="4"/>
  <c r="N26" i="5"/>
  <c r="O26" i="4"/>
  <c r="O26" i="5"/>
  <c r="P26" i="4"/>
  <c r="P26" i="5"/>
  <c r="Q26" i="4"/>
  <c r="Q26" i="5"/>
  <c r="R26" i="4"/>
  <c r="R26" i="5"/>
  <c r="S26" i="4"/>
  <c r="S26" i="5"/>
  <c r="T26" i="4"/>
  <c r="T26" i="5"/>
  <c r="U26" i="4"/>
  <c r="U26" i="5"/>
  <c r="V26" i="4"/>
  <c r="V26" i="5"/>
  <c r="M27" i="4"/>
  <c r="M27" i="5"/>
  <c r="N27" i="4"/>
  <c r="N27" i="5"/>
  <c r="O27" i="4"/>
  <c r="O27" i="5"/>
  <c r="P27" i="4"/>
  <c r="P27" i="5"/>
  <c r="Q27" i="4"/>
  <c r="Q27" i="5"/>
  <c r="R27" i="4"/>
  <c r="R27" i="5"/>
  <c r="S27" i="4"/>
  <c r="S27" i="5"/>
  <c r="T27" i="4"/>
  <c r="T27" i="5"/>
  <c r="U27" i="4"/>
  <c r="U27" i="5"/>
  <c r="V27" i="4"/>
  <c r="V27" i="5"/>
  <c r="M28" i="4"/>
  <c r="M28" i="5"/>
  <c r="N28" i="4"/>
  <c r="N28" i="5"/>
  <c r="O28" i="4"/>
  <c r="O28" i="5"/>
  <c r="P28" i="4"/>
  <c r="P28" i="5"/>
  <c r="Q28" i="4"/>
  <c r="Q28" i="5"/>
  <c r="R28" i="4"/>
  <c r="R28" i="5"/>
  <c r="S28" i="4"/>
  <c r="S28" i="5"/>
  <c r="T28" i="4"/>
  <c r="T28" i="5"/>
  <c r="U28" i="4"/>
  <c r="U28" i="5"/>
  <c r="V28" i="4"/>
  <c r="V28" i="5"/>
  <c r="M29" i="4"/>
  <c r="M29" i="5"/>
  <c r="N29" i="4"/>
  <c r="N29" i="5"/>
  <c r="O29" i="4"/>
  <c r="O29" i="5"/>
  <c r="P29" i="4"/>
  <c r="P29" i="5"/>
  <c r="Q29" i="4"/>
  <c r="Q29" i="5"/>
  <c r="R29" i="4"/>
  <c r="R29" i="5"/>
  <c r="S29" i="4"/>
  <c r="S29" i="5"/>
  <c r="T29" i="4"/>
  <c r="T29" i="5"/>
  <c r="U29" i="4"/>
  <c r="U29" i="5"/>
  <c r="V29" i="4"/>
  <c r="V29" i="5"/>
  <c r="M30" i="4"/>
  <c r="M30" i="5"/>
  <c r="N30" i="4"/>
  <c r="N30" i="5"/>
  <c r="O30" i="4"/>
  <c r="O30" i="5"/>
  <c r="P30" i="4"/>
  <c r="P30" i="5"/>
  <c r="Q30" i="4"/>
  <c r="Q30" i="5"/>
  <c r="R30" i="4"/>
  <c r="R30" i="5"/>
  <c r="S30" i="4"/>
  <c r="S30" i="5"/>
  <c r="T30" i="4"/>
  <c r="T30" i="5"/>
  <c r="U30" i="4"/>
  <c r="U30" i="5"/>
  <c r="V30" i="4"/>
  <c r="V30" i="5"/>
  <c r="M31" i="4"/>
  <c r="M31" i="5"/>
  <c r="N31" i="4"/>
  <c r="N31" i="5"/>
  <c r="O31" i="4"/>
  <c r="O31" i="5"/>
  <c r="P31" i="4"/>
  <c r="P31" i="5"/>
  <c r="Q31" i="4"/>
  <c r="Q31" i="5"/>
  <c r="R31" i="4"/>
  <c r="R31" i="5"/>
  <c r="S31" i="4"/>
  <c r="S31" i="5"/>
  <c r="T31" i="4"/>
  <c r="T31" i="5"/>
  <c r="U31" i="4"/>
  <c r="U31" i="5"/>
  <c r="V31" i="4"/>
  <c r="V31" i="5"/>
  <c r="M32" i="4"/>
  <c r="M32" i="5"/>
  <c r="N32" i="4"/>
  <c r="N32" i="5"/>
  <c r="O32" i="4"/>
  <c r="O32" i="5"/>
  <c r="P32" i="4"/>
  <c r="P32" i="5"/>
  <c r="Q32" i="4"/>
  <c r="Q32" i="5"/>
  <c r="R32" i="4"/>
  <c r="R32" i="5"/>
  <c r="S32" i="4"/>
  <c r="S32" i="5"/>
  <c r="T32" i="4"/>
  <c r="T32" i="5"/>
  <c r="U32" i="4"/>
  <c r="U32" i="5"/>
  <c r="V32" i="4"/>
  <c r="V32" i="5"/>
  <c r="M33" i="4"/>
  <c r="M33" i="5"/>
  <c r="N33" i="4"/>
  <c r="N33" i="5"/>
  <c r="O33" i="4"/>
  <c r="O33" i="5"/>
  <c r="P33" i="4"/>
  <c r="P33" i="5"/>
  <c r="Q33" i="4"/>
  <c r="Q33" i="5"/>
  <c r="R33" i="4"/>
  <c r="R33" i="5"/>
  <c r="S33" i="4"/>
  <c r="S33" i="5"/>
  <c r="T33" i="4"/>
  <c r="T33" i="5"/>
  <c r="U33" i="4"/>
  <c r="U33" i="5"/>
  <c r="V33" i="4"/>
  <c r="V33" i="5"/>
  <c r="M34" i="4"/>
  <c r="M34" i="5"/>
  <c r="N34" i="4"/>
  <c r="N34" i="5"/>
  <c r="O34" i="4"/>
  <c r="O34" i="5"/>
  <c r="P34" i="4"/>
  <c r="P34" i="5"/>
  <c r="Q34" i="4"/>
  <c r="Q34" i="5"/>
  <c r="R34" i="4"/>
  <c r="R34" i="5"/>
  <c r="S34" i="4"/>
  <c r="S34" i="5"/>
  <c r="T34" i="4"/>
  <c r="T34" i="5"/>
  <c r="U34" i="4"/>
  <c r="U34" i="5"/>
  <c r="V34" i="4"/>
  <c r="V34" i="5"/>
  <c r="M35" i="4"/>
  <c r="M35" i="5"/>
  <c r="N35" i="4"/>
  <c r="N35" i="5"/>
  <c r="O35" i="4"/>
  <c r="O35" i="5"/>
  <c r="P35" i="4"/>
  <c r="P35" i="5"/>
  <c r="Q35" i="4"/>
  <c r="Q35" i="5"/>
  <c r="R35" i="4"/>
  <c r="R35" i="5"/>
  <c r="S35" i="4"/>
  <c r="S35" i="5"/>
  <c r="T35" i="4"/>
  <c r="T35" i="5"/>
  <c r="U35" i="4"/>
  <c r="U35" i="5"/>
  <c r="V35" i="4"/>
  <c r="V35" i="5"/>
  <c r="M36" i="4"/>
  <c r="M36" i="5"/>
  <c r="N36" i="4"/>
  <c r="N36" i="5"/>
  <c r="O36" i="4"/>
  <c r="O36" i="5"/>
  <c r="P36" i="4"/>
  <c r="P36" i="5"/>
  <c r="Q36" i="4"/>
  <c r="Q36" i="5"/>
  <c r="R36" i="4"/>
  <c r="R36" i="5"/>
  <c r="S36" i="4"/>
  <c r="S36" i="5"/>
  <c r="T36" i="4"/>
  <c r="T36" i="5"/>
  <c r="U36" i="4"/>
  <c r="U36" i="5"/>
  <c r="V36" i="4"/>
  <c r="V36" i="5"/>
  <c r="M37" i="4"/>
  <c r="M37" i="5"/>
  <c r="N37" i="4"/>
  <c r="N37" i="5"/>
  <c r="O37" i="4"/>
  <c r="O37" i="5"/>
  <c r="P37" i="4"/>
  <c r="P37" i="5"/>
  <c r="Q37" i="4"/>
  <c r="Q37" i="5"/>
  <c r="R37" i="4"/>
  <c r="R37" i="5"/>
  <c r="S37" i="4"/>
  <c r="S37" i="5"/>
  <c r="T37" i="4"/>
  <c r="T37" i="5"/>
  <c r="U37" i="4"/>
  <c r="U37" i="5"/>
  <c r="V37" i="4"/>
  <c r="V37" i="5"/>
  <c r="M38" i="4"/>
  <c r="M38" i="5"/>
  <c r="N38" i="4"/>
  <c r="N38" i="5"/>
  <c r="O38" i="4"/>
  <c r="O38" i="5"/>
  <c r="P38" i="4"/>
  <c r="P38" i="5"/>
  <c r="Q38" i="4"/>
  <c r="Q38" i="5"/>
  <c r="R38" i="4"/>
  <c r="R38" i="5"/>
  <c r="S38" i="4"/>
  <c r="S38" i="5"/>
  <c r="T38" i="4"/>
  <c r="T38" i="5"/>
  <c r="U38" i="4"/>
  <c r="U38" i="5"/>
  <c r="V38" i="4"/>
  <c r="V38" i="5"/>
  <c r="M39" i="4"/>
  <c r="M39" i="5"/>
  <c r="N39" i="4"/>
  <c r="N39" i="5"/>
  <c r="O39" i="4"/>
  <c r="O39" i="5"/>
  <c r="P39" i="4"/>
  <c r="P39" i="5"/>
  <c r="Q39" i="4"/>
  <c r="Q39" i="5"/>
  <c r="R39" i="4"/>
  <c r="R39" i="5"/>
  <c r="S39" i="4"/>
  <c r="S39" i="5"/>
  <c r="T39" i="4"/>
  <c r="T39" i="5"/>
  <c r="U39" i="4"/>
  <c r="U39" i="5"/>
  <c r="V39" i="4"/>
  <c r="V39" i="5"/>
  <c r="M40" i="4"/>
  <c r="M40" i="5"/>
  <c r="N40" i="4"/>
  <c r="N40" i="5"/>
  <c r="O40" i="4"/>
  <c r="O40" i="5"/>
  <c r="P40" i="4"/>
  <c r="P40" i="5"/>
  <c r="Q40" i="4"/>
  <c r="Q40" i="5"/>
  <c r="R40" i="4"/>
  <c r="R40" i="5"/>
  <c r="S40" i="4"/>
  <c r="S40" i="5"/>
  <c r="T40" i="4"/>
  <c r="T40" i="5"/>
  <c r="U40" i="4"/>
  <c r="U40" i="5"/>
  <c r="V40" i="4"/>
  <c r="V40" i="5"/>
  <c r="M41" i="4"/>
  <c r="M41" i="5"/>
  <c r="N41" i="4"/>
  <c r="N41" i="5"/>
  <c r="O41" i="4"/>
  <c r="O41" i="5"/>
  <c r="P41" i="4"/>
  <c r="P41" i="5"/>
  <c r="Q41" i="4"/>
  <c r="Q41" i="5"/>
  <c r="R41" i="4"/>
  <c r="R41" i="5"/>
  <c r="S41" i="4"/>
  <c r="S41" i="5"/>
  <c r="T41" i="4"/>
  <c r="T41" i="5"/>
  <c r="U41" i="4"/>
  <c r="U41" i="5"/>
  <c r="V41" i="4"/>
  <c r="V41" i="5"/>
  <c r="M42" i="4"/>
  <c r="M42" i="5"/>
  <c r="N42" i="4"/>
  <c r="N42" i="5"/>
  <c r="O42" i="4"/>
  <c r="O42" i="5"/>
  <c r="P42" i="4"/>
  <c r="P42" i="5"/>
  <c r="Q42" i="4"/>
  <c r="Q42" i="5"/>
  <c r="R42" i="4"/>
  <c r="R42" i="5"/>
  <c r="S42" i="4"/>
  <c r="S42" i="5"/>
  <c r="T42" i="4"/>
  <c r="T42" i="5"/>
  <c r="U42" i="4"/>
  <c r="U42" i="5"/>
  <c r="V42" i="4"/>
  <c r="V42" i="5"/>
  <c r="M43" i="4"/>
  <c r="M43" i="5"/>
  <c r="N43" i="4"/>
  <c r="N43" i="5"/>
  <c r="O43" i="4"/>
  <c r="O43" i="5"/>
  <c r="P43" i="4"/>
  <c r="P43" i="5"/>
  <c r="Q43" i="4"/>
  <c r="Q43" i="5"/>
  <c r="R43" i="4"/>
  <c r="R43" i="5"/>
  <c r="S43" i="4"/>
  <c r="S43" i="5"/>
  <c r="T43" i="4"/>
  <c r="T43" i="5"/>
  <c r="U43" i="4"/>
  <c r="U43" i="5"/>
  <c r="V43" i="4"/>
  <c r="V43" i="5"/>
  <c r="M44" i="4"/>
  <c r="M44" i="5"/>
  <c r="N44" i="4"/>
  <c r="N44" i="5"/>
  <c r="O44" i="4"/>
  <c r="O44" i="5"/>
  <c r="P44" i="4"/>
  <c r="P44" i="5"/>
  <c r="Q44" i="4"/>
  <c r="Q44" i="5"/>
  <c r="R44" i="4"/>
  <c r="R44" i="5"/>
  <c r="S44" i="4"/>
  <c r="S44" i="5"/>
  <c r="T44" i="4"/>
  <c r="T44" i="5"/>
  <c r="U44" i="4"/>
  <c r="U44" i="5"/>
  <c r="V44" i="4"/>
  <c r="V44" i="5"/>
  <c r="M45" i="4"/>
  <c r="M45" i="5"/>
  <c r="N45" i="4"/>
  <c r="N45" i="5"/>
  <c r="O45" i="4"/>
  <c r="O45" i="5"/>
  <c r="P45" i="4"/>
  <c r="P45" i="5"/>
  <c r="Q45" i="4"/>
  <c r="Q45" i="5"/>
  <c r="R45" i="4"/>
  <c r="R45" i="5"/>
  <c r="S45" i="4"/>
  <c r="S45" i="5"/>
  <c r="T45" i="4"/>
  <c r="T45" i="5"/>
  <c r="U45" i="4"/>
  <c r="U45" i="5"/>
  <c r="V45" i="4"/>
  <c r="V45" i="5"/>
  <c r="M46" i="4"/>
  <c r="M46" i="5"/>
  <c r="N46" i="4"/>
  <c r="N46" i="5"/>
  <c r="O46" i="4"/>
  <c r="O46" i="5"/>
  <c r="P46" i="4"/>
  <c r="P46" i="5"/>
  <c r="Q46" i="4"/>
  <c r="Q46" i="5"/>
  <c r="R46" i="4"/>
  <c r="R46" i="5"/>
  <c r="S46" i="4"/>
  <c r="S46" i="5"/>
  <c r="T46" i="4"/>
  <c r="T46" i="5"/>
  <c r="U46" i="4"/>
  <c r="U46" i="5"/>
  <c r="V46" i="4"/>
  <c r="V46" i="5"/>
  <c r="M47" i="4"/>
  <c r="M47" i="5"/>
  <c r="N47" i="4"/>
  <c r="N47" i="5"/>
  <c r="O47" i="4"/>
  <c r="O47" i="5"/>
  <c r="P47" i="4"/>
  <c r="P47" i="5"/>
  <c r="Q47" i="4"/>
  <c r="Q47" i="5"/>
  <c r="R47" i="4"/>
  <c r="R47" i="5"/>
  <c r="S47" i="4"/>
  <c r="S47" i="5"/>
  <c r="T47" i="4"/>
  <c r="T47" i="5"/>
  <c r="U47" i="4"/>
  <c r="U47" i="5"/>
  <c r="V47" i="4"/>
  <c r="V47" i="5"/>
  <c r="M48" i="4"/>
  <c r="M48" i="5"/>
  <c r="N48" i="4"/>
  <c r="N48" i="5"/>
  <c r="O48" i="4"/>
  <c r="O48" i="5"/>
  <c r="P48" i="4"/>
  <c r="P48" i="5"/>
  <c r="Q48" i="4"/>
  <c r="Q48" i="5"/>
  <c r="R48" i="4"/>
  <c r="R48" i="5"/>
  <c r="S48" i="4"/>
  <c r="S48" i="5"/>
  <c r="T48" i="4"/>
  <c r="T48" i="5"/>
  <c r="U48" i="4"/>
  <c r="U48" i="5"/>
  <c r="V48" i="4"/>
  <c r="V48" i="5"/>
  <c r="M49" i="4"/>
  <c r="M49" i="5"/>
  <c r="N49" i="4"/>
  <c r="N49" i="5"/>
  <c r="O49" i="4"/>
  <c r="O49" i="5"/>
  <c r="P49" i="4"/>
  <c r="P49" i="5"/>
  <c r="Q49" i="4"/>
  <c r="Q49" i="5"/>
  <c r="R49" i="4"/>
  <c r="R49" i="5"/>
  <c r="S49" i="4"/>
  <c r="S49" i="5"/>
  <c r="T49" i="4"/>
  <c r="T49" i="5"/>
  <c r="U49" i="4"/>
  <c r="U49" i="5"/>
  <c r="V49" i="4"/>
  <c r="V49" i="5"/>
  <c r="M50" i="4"/>
  <c r="M50" i="5"/>
  <c r="N50" i="4"/>
  <c r="N50" i="5"/>
  <c r="O50" i="4"/>
  <c r="O50" i="5"/>
  <c r="P50" i="4"/>
  <c r="P50" i="5"/>
  <c r="Q50" i="4"/>
  <c r="Q50" i="5"/>
  <c r="R50" i="4"/>
  <c r="R50" i="5"/>
  <c r="S50" i="4"/>
  <c r="S50" i="5"/>
  <c r="T50" i="4"/>
  <c r="T50" i="5"/>
  <c r="U50" i="4"/>
  <c r="U50" i="5"/>
  <c r="V50" i="4"/>
  <c r="V50" i="5"/>
  <c r="M51" i="4"/>
  <c r="M51" i="5"/>
  <c r="N51" i="4"/>
  <c r="N51" i="5"/>
  <c r="O51" i="4"/>
  <c r="O51" i="5"/>
  <c r="P51" i="4"/>
  <c r="P51" i="5"/>
  <c r="Q51" i="4"/>
  <c r="Q51" i="5"/>
  <c r="R51" i="4"/>
  <c r="R51" i="5"/>
  <c r="S51" i="4"/>
  <c r="S51" i="5"/>
  <c r="T51" i="4"/>
  <c r="T51" i="5"/>
  <c r="U51" i="4"/>
  <c r="U51" i="5"/>
  <c r="V51" i="4"/>
  <c r="V51" i="5"/>
  <c r="M52" i="4"/>
  <c r="M52" i="5"/>
  <c r="N52" i="4"/>
  <c r="N52" i="5"/>
  <c r="O52" i="4"/>
  <c r="O52" i="5"/>
  <c r="P52" i="4"/>
  <c r="P52" i="5"/>
  <c r="Q52" i="4"/>
  <c r="Q52" i="5"/>
  <c r="R52" i="4"/>
  <c r="R52" i="5"/>
  <c r="S52" i="4"/>
  <c r="S52" i="5"/>
  <c r="T52" i="4"/>
  <c r="T52" i="5"/>
  <c r="U52" i="4"/>
  <c r="U52" i="5"/>
  <c r="V52" i="4"/>
  <c r="V52" i="5"/>
  <c r="M53" i="4"/>
  <c r="M53" i="5"/>
  <c r="N53" i="4"/>
  <c r="N53" i="5"/>
  <c r="O53" i="4"/>
  <c r="O53" i="5"/>
  <c r="P53" i="4"/>
  <c r="P53" i="5"/>
  <c r="Q53" i="4"/>
  <c r="Q53" i="5"/>
  <c r="R53" i="4"/>
  <c r="R53" i="5"/>
  <c r="S53" i="4"/>
  <c r="S53" i="5"/>
  <c r="T53" i="4"/>
  <c r="T53" i="5"/>
  <c r="U53" i="4"/>
  <c r="U53" i="5"/>
  <c r="V53" i="4"/>
  <c r="V53" i="5"/>
  <c r="M54" i="4"/>
  <c r="M54" i="5"/>
  <c r="N54" i="4"/>
  <c r="N54" i="5"/>
  <c r="O54" i="4"/>
  <c r="O54" i="5"/>
  <c r="P54" i="4"/>
  <c r="P54" i="5"/>
  <c r="Q54" i="4"/>
  <c r="Q54" i="5"/>
  <c r="R54" i="4"/>
  <c r="R54" i="5"/>
  <c r="S54" i="4"/>
  <c r="S54" i="5"/>
  <c r="T54" i="4"/>
  <c r="T54" i="5"/>
  <c r="U54" i="4"/>
  <c r="U54" i="5"/>
  <c r="V54" i="4"/>
  <c r="V54" i="5"/>
  <c r="M55" i="4"/>
  <c r="M55" i="5"/>
  <c r="N55" i="4"/>
  <c r="N55" i="5"/>
  <c r="O55" i="4"/>
  <c r="O55" i="5"/>
  <c r="P55" i="4"/>
  <c r="P55" i="5"/>
  <c r="Q55" i="4"/>
  <c r="Q55" i="5"/>
  <c r="R55" i="4"/>
  <c r="R55" i="5"/>
  <c r="S55" i="4"/>
  <c r="S55" i="5"/>
  <c r="T55" i="4"/>
  <c r="T55" i="5"/>
  <c r="U55" i="4"/>
  <c r="U55" i="5"/>
  <c r="V55" i="4"/>
  <c r="V55" i="5"/>
  <c r="N4" i="5"/>
  <c r="O4" i="5"/>
  <c r="P4" i="5"/>
  <c r="Q4" i="5"/>
  <c r="R4" i="5"/>
  <c r="S4" i="5"/>
  <c r="T4" i="5"/>
  <c r="U4" i="5"/>
  <c r="V4" i="5"/>
  <c r="M4" i="5"/>
  <c r="X5" i="5"/>
  <c r="Y5" i="5"/>
  <c r="Z5" i="5"/>
  <c r="AA5" i="5"/>
  <c r="AB5" i="5"/>
  <c r="AC5" i="5"/>
  <c r="AD5" i="5"/>
  <c r="AE5" i="5"/>
  <c r="AF5" i="5"/>
  <c r="AG5" i="5"/>
  <c r="X6" i="5"/>
  <c r="Y6" i="5"/>
  <c r="Z6" i="5"/>
  <c r="AA6" i="5"/>
  <c r="AB6" i="5"/>
  <c r="AC6" i="5"/>
  <c r="AD6" i="5"/>
  <c r="AE6" i="5"/>
  <c r="AF6" i="5"/>
  <c r="AG6" i="5"/>
  <c r="X7" i="5"/>
  <c r="Y7" i="5"/>
  <c r="Z7" i="5"/>
  <c r="AA7" i="5"/>
  <c r="AB7" i="5"/>
  <c r="AC7" i="5"/>
  <c r="AD7" i="5"/>
  <c r="AE7" i="5"/>
  <c r="AF7" i="5"/>
  <c r="AG7" i="5"/>
  <c r="X8" i="5"/>
  <c r="Y8" i="5"/>
  <c r="Z8" i="5"/>
  <c r="AA8" i="5"/>
  <c r="AB8" i="5"/>
  <c r="AC8" i="5"/>
  <c r="AD8" i="5"/>
  <c r="AE8" i="5"/>
  <c r="AF8" i="5"/>
  <c r="AG8" i="5"/>
  <c r="X9" i="5"/>
  <c r="Y9" i="5"/>
  <c r="Z9" i="5"/>
  <c r="AA9" i="5"/>
  <c r="AB9" i="5"/>
  <c r="AC9" i="5"/>
  <c r="AD9" i="5"/>
  <c r="AE9" i="5"/>
  <c r="AF9" i="5"/>
  <c r="AG9" i="5"/>
  <c r="X10" i="5"/>
  <c r="Y10" i="5"/>
  <c r="Z10" i="5"/>
  <c r="AA10" i="5"/>
  <c r="AB10" i="5"/>
  <c r="AC10" i="5"/>
  <c r="AD10" i="5"/>
  <c r="AE10" i="5"/>
  <c r="AF10" i="5"/>
  <c r="AG10" i="5"/>
  <c r="X11" i="5"/>
  <c r="Y11" i="5"/>
  <c r="Z11" i="5"/>
  <c r="AA11" i="5"/>
  <c r="AB11" i="5"/>
  <c r="AC11" i="5"/>
  <c r="AD11" i="5"/>
  <c r="AE11" i="5"/>
  <c r="AF11" i="5"/>
  <c r="AG11" i="5"/>
  <c r="X12" i="5"/>
  <c r="Y12" i="5"/>
  <c r="Z12" i="5"/>
  <c r="AA12" i="5"/>
  <c r="AB12" i="5"/>
  <c r="AC12" i="5"/>
  <c r="AD12" i="5"/>
  <c r="AE12" i="5"/>
  <c r="AF12" i="5"/>
  <c r="AG12" i="5"/>
  <c r="X13" i="5"/>
  <c r="Y13" i="5"/>
  <c r="Z13" i="5"/>
  <c r="AA13" i="5"/>
  <c r="AB13" i="5"/>
  <c r="AC13" i="5"/>
  <c r="AD13" i="5"/>
  <c r="AE13" i="5"/>
  <c r="AF13" i="5"/>
  <c r="AG13" i="5"/>
  <c r="X14" i="5"/>
  <c r="Y14" i="5"/>
  <c r="Z14" i="5"/>
  <c r="AA14" i="5"/>
  <c r="AB14" i="5"/>
  <c r="AC14" i="5"/>
  <c r="AD14" i="5"/>
  <c r="AE14" i="5"/>
  <c r="AF14" i="5"/>
  <c r="AG14" i="5"/>
  <c r="X15" i="5"/>
  <c r="Y15" i="5"/>
  <c r="Z15" i="5"/>
  <c r="AA15" i="5"/>
  <c r="AB15" i="5"/>
  <c r="AC15" i="5"/>
  <c r="AD15" i="5"/>
  <c r="AE15" i="5"/>
  <c r="AF15" i="5"/>
  <c r="AG15" i="5"/>
  <c r="X16" i="5"/>
  <c r="Y16" i="5"/>
  <c r="Z16" i="5"/>
  <c r="AA16" i="5"/>
  <c r="AB16" i="5"/>
  <c r="AC16" i="5"/>
  <c r="AD16" i="5"/>
  <c r="AE16" i="5"/>
  <c r="AF16" i="5"/>
  <c r="AG16" i="5"/>
  <c r="X17" i="5"/>
  <c r="Y17" i="5"/>
  <c r="Z17" i="5"/>
  <c r="AA17" i="5"/>
  <c r="AB17" i="5"/>
  <c r="AC17" i="5"/>
  <c r="AD17" i="5"/>
  <c r="AE17" i="5"/>
  <c r="AF17" i="5"/>
  <c r="AG17" i="5"/>
  <c r="X18" i="5"/>
  <c r="Y18" i="5"/>
  <c r="Z18" i="5"/>
  <c r="AA18" i="5"/>
  <c r="AB18" i="5"/>
  <c r="AC18" i="5"/>
  <c r="AD18" i="5"/>
  <c r="AE18" i="5"/>
  <c r="AF18" i="5"/>
  <c r="AG18" i="5"/>
  <c r="X19" i="5"/>
  <c r="Y19" i="5"/>
  <c r="Z19" i="5"/>
  <c r="AA19" i="5"/>
  <c r="AB19" i="5"/>
  <c r="AC19" i="5"/>
  <c r="AD19" i="5"/>
  <c r="AE19" i="5"/>
  <c r="AF19" i="5"/>
  <c r="AG19" i="5"/>
  <c r="X20" i="5"/>
  <c r="Y20" i="5"/>
  <c r="Z20" i="5"/>
  <c r="AA20" i="5"/>
  <c r="AB20" i="5"/>
  <c r="AC20" i="5"/>
  <c r="AD20" i="5"/>
  <c r="AE20" i="5"/>
  <c r="AF20" i="5"/>
  <c r="AG20" i="5"/>
  <c r="X21" i="5"/>
  <c r="Y21" i="5"/>
  <c r="Z21" i="5"/>
  <c r="AA21" i="5"/>
  <c r="AB21" i="5"/>
  <c r="AC21" i="5"/>
  <c r="AD21" i="5"/>
  <c r="AE21" i="5"/>
  <c r="AF21" i="5"/>
  <c r="AG21" i="5"/>
  <c r="X22" i="5"/>
  <c r="Y22" i="5"/>
  <c r="Z22" i="5"/>
  <c r="AA22" i="5"/>
  <c r="AB22" i="5"/>
  <c r="AC22" i="5"/>
  <c r="AD22" i="5"/>
  <c r="AE22" i="5"/>
  <c r="AF22" i="5"/>
  <c r="AG22" i="5"/>
  <c r="X23" i="5"/>
  <c r="Y23" i="5"/>
  <c r="Z23" i="5"/>
  <c r="AA23" i="5"/>
  <c r="AB23" i="5"/>
  <c r="AC23" i="5"/>
  <c r="AD23" i="5"/>
  <c r="AE23" i="5"/>
  <c r="AF23" i="5"/>
  <c r="AG23" i="5"/>
  <c r="X24" i="5"/>
  <c r="Y24" i="5"/>
  <c r="Z24" i="5"/>
  <c r="AA24" i="5"/>
  <c r="AB24" i="5"/>
  <c r="AC24" i="5"/>
  <c r="AD24" i="5"/>
  <c r="AE24" i="5"/>
  <c r="AF24" i="5"/>
  <c r="AG24" i="5"/>
  <c r="X25" i="5"/>
  <c r="Y25" i="5"/>
  <c r="Z25" i="5"/>
  <c r="AA25" i="5"/>
  <c r="AB25" i="5"/>
  <c r="AC25" i="5"/>
  <c r="AD25" i="5"/>
  <c r="AE25" i="5"/>
  <c r="AF25" i="5"/>
  <c r="AG25" i="5"/>
  <c r="X26" i="5"/>
  <c r="Y26" i="5"/>
  <c r="Z26" i="5"/>
  <c r="AA26" i="5"/>
  <c r="AB26" i="5"/>
  <c r="AC26" i="5"/>
  <c r="AD26" i="5"/>
  <c r="AE26" i="5"/>
  <c r="AF26" i="5"/>
  <c r="AG26" i="5"/>
  <c r="X27" i="5"/>
  <c r="Y27" i="5"/>
  <c r="Z27" i="5"/>
  <c r="AA27" i="5"/>
  <c r="AB27" i="5"/>
  <c r="AC27" i="5"/>
  <c r="AD27" i="5"/>
  <c r="AE27" i="5"/>
  <c r="AF27" i="5"/>
  <c r="AG27" i="5"/>
  <c r="X28" i="5"/>
  <c r="Y28" i="5"/>
  <c r="Z28" i="5"/>
  <c r="AA28" i="5"/>
  <c r="AB28" i="5"/>
  <c r="AC28" i="5"/>
  <c r="AD28" i="5"/>
  <c r="AE28" i="5"/>
  <c r="AF28" i="5"/>
  <c r="AG28" i="5"/>
  <c r="X29" i="5"/>
  <c r="Y29" i="5"/>
  <c r="Z29" i="5"/>
  <c r="AA29" i="5"/>
  <c r="AB29" i="5"/>
  <c r="AC29" i="5"/>
  <c r="AD29" i="5"/>
  <c r="AE29" i="5"/>
  <c r="AF29" i="5"/>
  <c r="AG29" i="5"/>
  <c r="X30" i="5"/>
  <c r="Y30" i="5"/>
  <c r="Z30" i="5"/>
  <c r="AA30" i="5"/>
  <c r="AB30" i="5"/>
  <c r="AC30" i="5"/>
  <c r="AD30" i="5"/>
  <c r="AE30" i="5"/>
  <c r="AF30" i="5"/>
  <c r="AG30" i="5"/>
  <c r="X31" i="5"/>
  <c r="Y31" i="5"/>
  <c r="Z31" i="5"/>
  <c r="AA31" i="5"/>
  <c r="AB31" i="5"/>
  <c r="AC31" i="5"/>
  <c r="AD31" i="5"/>
  <c r="AE31" i="5"/>
  <c r="AF31" i="5"/>
  <c r="AG31" i="5"/>
  <c r="X32" i="5"/>
  <c r="Y32" i="5"/>
  <c r="Z32" i="5"/>
  <c r="AA32" i="5"/>
  <c r="AB32" i="5"/>
  <c r="AC32" i="5"/>
  <c r="AD32" i="5"/>
  <c r="AE32" i="5"/>
  <c r="AF32" i="5"/>
  <c r="AG32" i="5"/>
  <c r="X33" i="5"/>
  <c r="Y33" i="5"/>
  <c r="Z33" i="5"/>
  <c r="AA33" i="5"/>
  <c r="AB33" i="5"/>
  <c r="AC33" i="5"/>
  <c r="AD33" i="5"/>
  <c r="AE33" i="5"/>
  <c r="AF33" i="5"/>
  <c r="AG33" i="5"/>
  <c r="X34" i="5"/>
  <c r="Y34" i="5"/>
  <c r="Z34" i="5"/>
  <c r="AA34" i="5"/>
  <c r="AB34" i="5"/>
  <c r="AC34" i="5"/>
  <c r="AD34" i="5"/>
  <c r="AE34" i="5"/>
  <c r="AF34" i="5"/>
  <c r="AG34" i="5"/>
  <c r="X35" i="5"/>
  <c r="Y35" i="5"/>
  <c r="Z35" i="5"/>
  <c r="AA35" i="5"/>
  <c r="AB35" i="5"/>
  <c r="AC35" i="5"/>
  <c r="AD35" i="5"/>
  <c r="AE35" i="5"/>
  <c r="AF35" i="5"/>
  <c r="AG35" i="5"/>
  <c r="X36" i="5"/>
  <c r="Y36" i="5"/>
  <c r="Z36" i="5"/>
  <c r="AA36" i="5"/>
  <c r="AB36" i="5"/>
  <c r="AC36" i="5"/>
  <c r="AD36" i="5"/>
  <c r="AE36" i="5"/>
  <c r="AF36" i="5"/>
  <c r="AG36" i="5"/>
  <c r="X37" i="5"/>
  <c r="Y37" i="5"/>
  <c r="Z37" i="5"/>
  <c r="AA37" i="5"/>
  <c r="AB37" i="5"/>
  <c r="AC37" i="5"/>
  <c r="AD37" i="5"/>
  <c r="AE37" i="5"/>
  <c r="AF37" i="5"/>
  <c r="AG37" i="5"/>
  <c r="X38" i="5"/>
  <c r="Y38" i="5"/>
  <c r="Z38" i="5"/>
  <c r="AA38" i="5"/>
  <c r="AB38" i="5"/>
  <c r="AC38" i="5"/>
  <c r="AD38" i="5"/>
  <c r="AE38" i="5"/>
  <c r="AF38" i="5"/>
  <c r="AG38" i="5"/>
  <c r="X39" i="5"/>
  <c r="Y39" i="5"/>
  <c r="Z39" i="5"/>
  <c r="AA39" i="5"/>
  <c r="AB39" i="5"/>
  <c r="AC39" i="5"/>
  <c r="AD39" i="5"/>
  <c r="AE39" i="5"/>
  <c r="AF39" i="5"/>
  <c r="AG39" i="5"/>
  <c r="X40" i="5"/>
  <c r="Y40" i="5"/>
  <c r="Z40" i="5"/>
  <c r="AA40" i="5"/>
  <c r="AB40" i="5"/>
  <c r="AC40" i="5"/>
  <c r="AD40" i="5"/>
  <c r="AE40" i="5"/>
  <c r="AF40" i="5"/>
  <c r="AG40" i="5"/>
  <c r="X41" i="5"/>
  <c r="Y41" i="5"/>
  <c r="Z41" i="5"/>
  <c r="AA41" i="5"/>
  <c r="AB41" i="5"/>
  <c r="AC41" i="5"/>
  <c r="AD41" i="5"/>
  <c r="AE41" i="5"/>
  <c r="AF41" i="5"/>
  <c r="AG41" i="5"/>
  <c r="X42" i="5"/>
  <c r="Y42" i="5"/>
  <c r="Z42" i="5"/>
  <c r="AA42" i="5"/>
  <c r="AB42" i="5"/>
  <c r="AC42" i="5"/>
  <c r="AD42" i="5"/>
  <c r="AE42" i="5"/>
  <c r="AF42" i="5"/>
  <c r="AG42" i="5"/>
  <c r="X43" i="5"/>
  <c r="Y43" i="5"/>
  <c r="Z43" i="5"/>
  <c r="AA43" i="5"/>
  <c r="AB43" i="5"/>
  <c r="AC43" i="5"/>
  <c r="AD43" i="5"/>
  <c r="AE43" i="5"/>
  <c r="AF43" i="5"/>
  <c r="AG43" i="5"/>
  <c r="X44" i="5"/>
  <c r="Y44" i="5"/>
  <c r="Z44" i="5"/>
  <c r="AA44" i="5"/>
  <c r="AB44" i="5"/>
  <c r="AC44" i="5"/>
  <c r="AD44" i="5"/>
  <c r="AE44" i="5"/>
  <c r="AF44" i="5"/>
  <c r="AG44" i="5"/>
  <c r="X45" i="5"/>
  <c r="Y45" i="5"/>
  <c r="Z45" i="5"/>
  <c r="AA45" i="5"/>
  <c r="AB45" i="5"/>
  <c r="AC45" i="5"/>
  <c r="AD45" i="5"/>
  <c r="AE45" i="5"/>
  <c r="AF45" i="5"/>
  <c r="AG45" i="5"/>
  <c r="X46" i="5"/>
  <c r="Y46" i="5"/>
  <c r="Z46" i="5"/>
  <c r="AA46" i="5"/>
  <c r="AB46" i="5"/>
  <c r="AC46" i="5"/>
  <c r="AD46" i="5"/>
  <c r="AE46" i="5"/>
  <c r="AF46" i="5"/>
  <c r="AG46" i="5"/>
  <c r="X47" i="5"/>
  <c r="Y47" i="5"/>
  <c r="Z47" i="5"/>
  <c r="AA47" i="5"/>
  <c r="AB47" i="5"/>
  <c r="AC47" i="5"/>
  <c r="AD47" i="5"/>
  <c r="AE47" i="5"/>
  <c r="AF47" i="5"/>
  <c r="AG47" i="5"/>
  <c r="X48" i="5"/>
  <c r="Y48" i="5"/>
  <c r="Z48" i="5"/>
  <c r="AA48" i="5"/>
  <c r="AB48" i="5"/>
  <c r="AC48" i="5"/>
  <c r="AD48" i="5"/>
  <c r="AE48" i="5"/>
  <c r="AF48" i="5"/>
  <c r="AG48" i="5"/>
  <c r="X49" i="5"/>
  <c r="Y49" i="5"/>
  <c r="Z49" i="5"/>
  <c r="AA49" i="5"/>
  <c r="AB49" i="5"/>
  <c r="AC49" i="5"/>
  <c r="AD49" i="5"/>
  <c r="AE49" i="5"/>
  <c r="AF49" i="5"/>
  <c r="AG49" i="5"/>
  <c r="X50" i="5"/>
  <c r="Y50" i="5"/>
  <c r="Z50" i="5"/>
  <c r="AA50" i="5"/>
  <c r="AB50" i="5"/>
  <c r="AC50" i="5"/>
  <c r="AD50" i="5"/>
  <c r="AE50" i="5"/>
  <c r="AF50" i="5"/>
  <c r="AG50" i="5"/>
  <c r="X51" i="5"/>
  <c r="Y51" i="5"/>
  <c r="Z51" i="5"/>
  <c r="AA51" i="5"/>
  <c r="AB51" i="5"/>
  <c r="AC51" i="5"/>
  <c r="AD51" i="5"/>
  <c r="AE51" i="5"/>
  <c r="AF51" i="5"/>
  <c r="AG51" i="5"/>
  <c r="X52" i="5"/>
  <c r="Y52" i="5"/>
  <c r="Z52" i="5"/>
  <c r="AA52" i="5"/>
  <c r="AB52" i="5"/>
  <c r="AC52" i="5"/>
  <c r="AD52" i="5"/>
  <c r="AE52" i="5"/>
  <c r="AF52" i="5"/>
  <c r="AG52" i="5"/>
  <c r="X53" i="5"/>
  <c r="Y53" i="5"/>
  <c r="Z53" i="5"/>
  <c r="AA53" i="5"/>
  <c r="AB53" i="5"/>
  <c r="AC53" i="5"/>
  <c r="AD53" i="5"/>
  <c r="AE53" i="5"/>
  <c r="AF53" i="5"/>
  <c r="AG53" i="5"/>
  <c r="X54" i="5"/>
  <c r="Y54" i="5"/>
  <c r="Z54" i="5"/>
  <c r="AA54" i="5"/>
  <c r="AB54" i="5"/>
  <c r="AC54" i="5"/>
  <c r="AD54" i="5"/>
  <c r="AE54" i="5"/>
  <c r="AF54" i="5"/>
  <c r="AG54" i="5"/>
  <c r="X55" i="5"/>
  <c r="Y55" i="5"/>
  <c r="Z55" i="5"/>
  <c r="AA55" i="5"/>
  <c r="AB55" i="5"/>
  <c r="AC55" i="5"/>
  <c r="AD55" i="5"/>
  <c r="AE55" i="5"/>
  <c r="AF55" i="5"/>
  <c r="AG55" i="5"/>
  <c r="Y4" i="5"/>
  <c r="Z4" i="5"/>
  <c r="AA4" i="5"/>
  <c r="AB4" i="5"/>
  <c r="AC4" i="5"/>
  <c r="AD4" i="5"/>
  <c r="AE4" i="5"/>
  <c r="AF4" i="5"/>
  <c r="AG4" i="5"/>
  <c r="X4" i="5"/>
  <c r="D55" i="2"/>
  <c r="D56" i="2"/>
  <c r="H56" i="2"/>
  <c r="D57" i="2"/>
  <c r="H57" i="2"/>
  <c r="D58" i="2"/>
  <c r="H58" i="2"/>
  <c r="D59" i="2"/>
  <c r="H59" i="2"/>
  <c r="D60" i="2"/>
  <c r="H60" i="2"/>
  <c r="D61" i="2"/>
  <c r="H61" i="2"/>
  <c r="D62" i="2"/>
  <c r="H62" i="2"/>
  <c r="D63" i="2"/>
  <c r="H63" i="2"/>
  <c r="D64" i="2"/>
  <c r="H64" i="2"/>
  <c r="H55" i="2"/>
  <c r="F56" i="2"/>
  <c r="F57" i="2"/>
  <c r="F58" i="2"/>
  <c r="F59" i="2"/>
  <c r="F60" i="2"/>
  <c r="F61" i="2"/>
  <c r="F62" i="2"/>
  <c r="F63" i="2"/>
  <c r="F64" i="2"/>
  <c r="F55" i="2"/>
  <c r="U66" i="2"/>
  <c r="U67" i="2"/>
  <c r="U68" i="2"/>
  <c r="U69" i="2"/>
  <c r="U70" i="2"/>
  <c r="U71" i="2"/>
  <c r="U72" i="2"/>
  <c r="U73" i="2"/>
  <c r="U74" i="2"/>
  <c r="U65" i="2"/>
  <c r="E56" i="2"/>
  <c r="E57" i="2"/>
  <c r="E58" i="2"/>
  <c r="E59" i="2"/>
  <c r="E60" i="2"/>
  <c r="E61" i="2"/>
  <c r="E62" i="2"/>
  <c r="E63" i="2"/>
  <c r="E64" i="2"/>
  <c r="E55" i="2"/>
  <c r="H111" i="2"/>
  <c r="H97" i="2"/>
  <c r="H118" i="2"/>
  <c r="H117" i="2"/>
  <c r="H116" i="2"/>
  <c r="H115" i="2"/>
  <c r="H114" i="2"/>
  <c r="H113" i="2"/>
  <c r="C112" i="2"/>
  <c r="F112" i="2"/>
  <c r="B112" i="2"/>
  <c r="H112" i="2"/>
  <c r="H110" i="2"/>
  <c r="H109" i="2"/>
  <c r="H98" i="2"/>
  <c r="H99" i="2"/>
  <c r="C101" i="2"/>
  <c r="F101" i="2"/>
  <c r="B101" i="2"/>
  <c r="H101" i="2"/>
  <c r="C102" i="2"/>
  <c r="F102" i="2"/>
  <c r="B102" i="2"/>
  <c r="H102" i="2"/>
  <c r="C103" i="2"/>
  <c r="F103" i="2"/>
  <c r="B103" i="2"/>
  <c r="H103" i="2"/>
  <c r="H104" i="2"/>
  <c r="H105" i="2"/>
  <c r="H106" i="2"/>
  <c r="C100" i="2"/>
  <c r="F100" i="2"/>
  <c r="B100" i="2"/>
  <c r="H100" i="2"/>
  <c r="S31" i="2"/>
  <c r="R31" i="2"/>
  <c r="Q31" i="2"/>
  <c r="P31" i="2"/>
  <c r="O31" i="2"/>
  <c r="B77" i="2"/>
  <c r="B76" i="2"/>
  <c r="B69" i="2"/>
  <c r="B68" i="2"/>
  <c r="B72" i="2"/>
  <c r="E78" i="2"/>
  <c r="B75" i="2"/>
  <c r="B74" i="2"/>
  <c r="B73" i="2"/>
  <c r="B71" i="2"/>
  <c r="B70" i="2"/>
  <c r="O79" i="2"/>
  <c r="P79" i="2"/>
  <c r="Q79" i="2"/>
  <c r="R79" i="2"/>
  <c r="S79" i="2"/>
  <c r="O80" i="2"/>
  <c r="P80" i="2"/>
  <c r="Q80" i="2"/>
  <c r="R80" i="2"/>
  <c r="S80" i="2"/>
  <c r="O81" i="2"/>
  <c r="P81" i="2"/>
  <c r="Q81" i="2"/>
  <c r="R81" i="2"/>
  <c r="S81" i="2"/>
  <c r="O82" i="2"/>
  <c r="P82" i="2"/>
  <c r="Q82" i="2"/>
  <c r="R82" i="2"/>
  <c r="S82" i="2"/>
  <c r="O83" i="2"/>
  <c r="P83" i="2"/>
  <c r="Q83" i="2"/>
  <c r="R83" i="2"/>
  <c r="S83" i="2"/>
  <c r="O84" i="2"/>
  <c r="P84" i="2"/>
  <c r="Q84" i="2"/>
  <c r="R84" i="2"/>
  <c r="S84" i="2"/>
  <c r="O85" i="2"/>
  <c r="P85" i="2"/>
  <c r="Q85" i="2"/>
  <c r="R85" i="2"/>
  <c r="S85" i="2"/>
  <c r="Y22" i="2"/>
  <c r="X22" i="2"/>
  <c r="Y21" i="2"/>
  <c r="X21" i="2"/>
  <c r="Y20" i="2"/>
  <c r="X20" i="2"/>
  <c r="Y19" i="2"/>
  <c r="X19" i="2"/>
  <c r="Y18" i="2"/>
  <c r="X18" i="2"/>
  <c r="Y17" i="2"/>
  <c r="X17" i="2"/>
  <c r="B48" i="2"/>
  <c r="B113" i="9"/>
  <c r="H113" i="9"/>
  <c r="U73" i="9"/>
  <c r="B104" i="7"/>
  <c r="H104" i="7"/>
  <c r="B106" i="7"/>
  <c r="H106" i="7"/>
  <c r="AI31" i="5"/>
  <c r="AK31" i="5"/>
  <c r="AI43" i="5"/>
  <c r="AI40" i="5"/>
  <c r="AK40" i="5"/>
  <c r="AI36" i="5"/>
  <c r="AK36" i="5"/>
  <c r="AJ48" i="5"/>
  <c r="AI32" i="5"/>
  <c r="AK32" i="5"/>
  <c r="AJ44" i="5"/>
  <c r="AI38" i="5"/>
  <c r="AK38" i="5"/>
  <c r="CE50" i="5"/>
  <c r="BW50" i="5"/>
  <c r="BS50" i="5"/>
  <c r="BO50" i="5"/>
  <c r="BG50" i="5"/>
  <c r="BC50" i="5"/>
  <c r="AY50" i="5"/>
  <c r="AQ50" i="5"/>
  <c r="AM50" i="5"/>
  <c r="AI50" i="5"/>
  <c r="AI37" i="5"/>
  <c r="AK37" i="5"/>
  <c r="BZ49" i="5"/>
  <c r="BJ49" i="5"/>
  <c r="AT49" i="5"/>
  <c r="AI33" i="5"/>
  <c r="AK33" i="5"/>
  <c r="CD45" i="5"/>
  <c r="BZ45" i="5"/>
  <c r="BN45" i="5"/>
  <c r="BJ45" i="5"/>
  <c r="AX45" i="5"/>
  <c r="AT45" i="5"/>
  <c r="CF50" i="5"/>
  <c r="CB50" i="5"/>
  <c r="BX50" i="5"/>
  <c r="BP50" i="5"/>
  <c r="BL50" i="5"/>
  <c r="BH50" i="5"/>
  <c r="AZ50" i="5"/>
  <c r="AV50" i="5"/>
  <c r="AR50" i="5"/>
  <c r="AJ50" i="5"/>
  <c r="CG47" i="5"/>
  <c r="CC47" i="5"/>
  <c r="BY47" i="5"/>
  <c r="BU47" i="5"/>
  <c r="BQ47" i="5"/>
  <c r="BM47" i="5"/>
  <c r="BI47" i="5"/>
  <c r="BE47" i="5"/>
  <c r="BA47" i="5"/>
  <c r="AW47" i="5"/>
  <c r="AS47" i="5"/>
  <c r="AO47" i="5"/>
  <c r="AK47" i="5"/>
  <c r="AI45" i="5"/>
  <c r="CE51" i="5"/>
  <c r="BO51" i="5"/>
  <c r="AY51" i="5"/>
  <c r="CG43" i="5"/>
  <c r="CC43" i="5"/>
  <c r="BY43" i="5"/>
  <c r="BU43" i="5"/>
  <c r="BQ43" i="5"/>
  <c r="BM43" i="5"/>
  <c r="BI43" i="5"/>
  <c r="BE43" i="5"/>
  <c r="BA43" i="5"/>
  <c r="AW43" i="5"/>
  <c r="AS43" i="5"/>
  <c r="AO43" i="5"/>
  <c r="AK43" i="5"/>
  <c r="CD51" i="5"/>
  <c r="BZ51" i="5"/>
  <c r="BV51" i="5"/>
  <c r="BR51" i="5"/>
  <c r="BN51" i="5"/>
  <c r="BJ51" i="5"/>
  <c r="BF51" i="5"/>
  <c r="BB51" i="5"/>
  <c r="AX51" i="5"/>
  <c r="AT51" i="5"/>
  <c r="AP51" i="5"/>
  <c r="AL51" i="5"/>
  <c r="CE48" i="5"/>
  <c r="CA48" i="5"/>
  <c r="BW48" i="5"/>
  <c r="BS48" i="5"/>
  <c r="BO48" i="5"/>
  <c r="BK48" i="5"/>
  <c r="BG48" i="5"/>
  <c r="BC48" i="5"/>
  <c r="AY48" i="5"/>
  <c r="AU48" i="5"/>
  <c r="AQ48" i="5"/>
  <c r="AM48" i="5"/>
  <c r="CD47" i="5"/>
  <c r="BZ47" i="5"/>
  <c r="BV47" i="5"/>
  <c r="BR47" i="5"/>
  <c r="BN47" i="5"/>
  <c r="BJ47" i="5"/>
  <c r="BF47" i="5"/>
  <c r="BB47" i="5"/>
  <c r="AX47" i="5"/>
  <c r="AT47" i="5"/>
  <c r="AP47" i="5"/>
  <c r="AL47" i="5"/>
  <c r="CE44" i="5"/>
  <c r="BS44" i="5"/>
  <c r="BO44" i="5"/>
  <c r="BC44" i="5"/>
  <c r="AY44" i="5"/>
  <c r="AM44" i="5"/>
  <c r="BS51" i="5"/>
  <c r="BC51" i="5"/>
  <c r="CD43" i="5"/>
  <c r="BZ43" i="5"/>
  <c r="BV43" i="5"/>
  <c r="BR43" i="5"/>
  <c r="BN43" i="5"/>
  <c r="BJ43" i="5"/>
  <c r="BF43" i="5"/>
  <c r="BB43" i="5"/>
  <c r="AX43" i="5"/>
  <c r="AT43" i="5"/>
  <c r="AP43" i="5"/>
  <c r="AL43" i="5"/>
  <c r="BZ50" i="5"/>
  <c r="BV50" i="5"/>
  <c r="BR50" i="5"/>
  <c r="BJ50" i="5"/>
  <c r="BF50" i="5"/>
  <c r="BB50" i="5"/>
  <c r="AT50" i="5"/>
  <c r="AP50" i="5"/>
  <c r="AL50" i="5"/>
  <c r="CC49" i="5"/>
  <c r="BM49" i="5"/>
  <c r="AW49" i="5"/>
  <c r="CF48" i="5"/>
  <c r="CB48" i="5"/>
  <c r="BX48" i="5"/>
  <c r="BT48" i="5"/>
  <c r="BP48" i="5"/>
  <c r="BL48" i="5"/>
  <c r="BH48" i="5"/>
  <c r="BD48" i="5"/>
  <c r="AZ48" i="5"/>
  <c r="AV48" i="5"/>
  <c r="AR48" i="5"/>
  <c r="AN48" i="5"/>
  <c r="CE47" i="5"/>
  <c r="CA47" i="5"/>
  <c r="BW47" i="5"/>
  <c r="BS47" i="5"/>
  <c r="BO47" i="5"/>
  <c r="BK47" i="5"/>
  <c r="BG47" i="5"/>
  <c r="BC47" i="5"/>
  <c r="AY47" i="5"/>
  <c r="AU47" i="5"/>
  <c r="AQ47" i="5"/>
  <c r="AM47" i="5"/>
  <c r="CG45" i="5"/>
  <c r="CC45" i="5"/>
  <c r="BQ45" i="5"/>
  <c r="BM45" i="5"/>
  <c r="BA45" i="5"/>
  <c r="AW45" i="5"/>
  <c r="AK45" i="5"/>
  <c r="CF44" i="5"/>
  <c r="BT44" i="5"/>
  <c r="BP44" i="5"/>
  <c r="BD44" i="5"/>
  <c r="AZ44" i="5"/>
  <c r="AN44" i="5"/>
  <c r="AI34" i="5"/>
  <c r="AK34" i="5"/>
  <c r="B47" i="2"/>
  <c r="O77" i="2"/>
  <c r="P77" i="2"/>
  <c r="Q77" i="2"/>
  <c r="R77" i="2"/>
  <c r="S77" i="2"/>
  <c r="O78" i="2"/>
  <c r="P78" i="2"/>
  <c r="Q78" i="2"/>
  <c r="R78" i="2"/>
  <c r="S78" i="2"/>
  <c r="P76" i="2"/>
  <c r="Q76" i="2"/>
  <c r="R76" i="2"/>
  <c r="S76" i="2"/>
  <c r="O76" i="2"/>
  <c r="O50" i="2"/>
  <c r="O62" i="2"/>
  <c r="P51" i="2"/>
  <c r="P63" i="2"/>
  <c r="R51" i="2"/>
  <c r="R63" i="2"/>
  <c r="S37" i="2"/>
  <c r="S51" i="2"/>
  <c r="S63" i="2"/>
  <c r="Q37" i="2"/>
  <c r="Q51" i="2"/>
  <c r="Q63" i="2"/>
  <c r="O37" i="2"/>
  <c r="O51" i="2"/>
  <c r="O63" i="2"/>
  <c r="S36" i="2"/>
  <c r="S50" i="2"/>
  <c r="S62" i="2"/>
  <c r="R36" i="2"/>
  <c r="R50" i="2"/>
  <c r="R62" i="2"/>
  <c r="P36" i="2"/>
  <c r="P50" i="2"/>
  <c r="P62" i="2"/>
  <c r="Q36" i="2"/>
  <c r="Q50" i="2"/>
  <c r="Q62" i="2"/>
  <c r="O35" i="2"/>
  <c r="O49" i="2"/>
  <c r="O61" i="2"/>
  <c r="P35" i="2"/>
  <c r="P49" i="2"/>
  <c r="P61" i="2"/>
  <c r="Q35" i="2"/>
  <c r="Q49" i="2"/>
  <c r="Q61" i="2"/>
  <c r="R35" i="2"/>
  <c r="R49" i="2"/>
  <c r="R61" i="2"/>
  <c r="S35" i="2"/>
  <c r="S49" i="2"/>
  <c r="S61" i="2"/>
  <c r="P34" i="2"/>
  <c r="P48" i="2"/>
  <c r="P60" i="2"/>
  <c r="Q34" i="2"/>
  <c r="Q48" i="2"/>
  <c r="Q60" i="2"/>
  <c r="R34" i="2"/>
  <c r="R48" i="2"/>
  <c r="R60" i="2"/>
  <c r="S34" i="2"/>
  <c r="S48" i="2"/>
  <c r="S60" i="2"/>
  <c r="O34" i="2"/>
  <c r="O48" i="2"/>
  <c r="O60" i="2"/>
  <c r="S33" i="2"/>
  <c r="S47" i="2"/>
  <c r="S59" i="2"/>
  <c r="P33" i="2"/>
  <c r="P47" i="2"/>
  <c r="P59" i="2"/>
  <c r="Q33" i="2"/>
  <c r="Q47" i="2"/>
  <c r="Q59" i="2"/>
  <c r="R33" i="2"/>
  <c r="R47" i="2"/>
  <c r="R59" i="2"/>
  <c r="O33" i="2"/>
  <c r="O47" i="2"/>
  <c r="O59" i="2"/>
  <c r="S32" i="2"/>
  <c r="S46" i="2"/>
  <c r="S58" i="2"/>
  <c r="R32" i="2"/>
  <c r="R46" i="2"/>
  <c r="R58" i="2"/>
  <c r="Q32" i="2"/>
  <c r="Q46" i="2"/>
  <c r="Q58" i="2"/>
  <c r="P32" i="2"/>
  <c r="P46" i="2"/>
  <c r="P58" i="2"/>
  <c r="O32" i="2"/>
  <c r="O46" i="2"/>
  <c r="O58" i="2"/>
  <c r="P30" i="2"/>
  <c r="P44" i="2"/>
  <c r="P56" i="2"/>
  <c r="O30" i="2"/>
  <c r="O44" i="2"/>
  <c r="O56" i="2"/>
  <c r="S45" i="2"/>
  <c r="S57" i="2"/>
  <c r="R45" i="2"/>
  <c r="R57" i="2"/>
  <c r="Q45" i="2"/>
  <c r="Q57" i="2"/>
  <c r="P45" i="2"/>
  <c r="P57" i="2"/>
  <c r="O45" i="2"/>
  <c r="O57" i="2"/>
  <c r="R30" i="2"/>
  <c r="R44" i="2"/>
  <c r="R56" i="2"/>
  <c r="S30" i="2"/>
  <c r="S44" i="2"/>
  <c r="S56" i="2"/>
  <c r="Q30" i="2"/>
  <c r="Q44" i="2"/>
  <c r="Q56" i="2"/>
  <c r="S29" i="2"/>
  <c r="S43" i="2"/>
  <c r="S55" i="2"/>
  <c r="O29" i="2"/>
  <c r="O43" i="2"/>
  <c r="O55" i="2"/>
  <c r="P29" i="2"/>
  <c r="P43" i="2"/>
  <c r="P55" i="2"/>
  <c r="Q29" i="2"/>
  <c r="Q43" i="2"/>
  <c r="Q55" i="2"/>
  <c r="R29" i="2"/>
  <c r="R43" i="2"/>
  <c r="R55" i="2"/>
  <c r="S28" i="2"/>
  <c r="S42" i="2"/>
  <c r="S54" i="2"/>
  <c r="R28" i="2"/>
  <c r="R42" i="2"/>
  <c r="R54" i="2"/>
  <c r="Q28" i="2"/>
  <c r="Q42" i="2"/>
  <c r="Q54" i="2"/>
  <c r="P28" i="2"/>
  <c r="P42" i="2"/>
  <c r="P54" i="2"/>
  <c r="O28" i="2"/>
  <c r="O42" i="2"/>
  <c r="O54" i="2"/>
  <c r="L16" i="2"/>
  <c r="L17" i="2"/>
  <c r="L18" i="2"/>
  <c r="L19" i="2"/>
  <c r="L20" i="2"/>
  <c r="L21" i="2"/>
  <c r="L22" i="2"/>
  <c r="L23" i="2"/>
  <c r="L24" i="2"/>
  <c r="L15" i="2"/>
  <c r="K24" i="2"/>
  <c r="K23" i="2"/>
  <c r="K22" i="2"/>
  <c r="K21" i="2"/>
  <c r="K20" i="2"/>
  <c r="K19" i="2"/>
  <c r="K18" i="2"/>
  <c r="K17" i="2"/>
  <c r="K16" i="2"/>
  <c r="K15" i="2"/>
  <c r="R2" i="2"/>
  <c r="R4" i="2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27" i="1"/>
  <c r="R10" i="1"/>
  <c r="R12" i="1"/>
  <c r="AO46" i="5"/>
  <c r="AW46" i="5"/>
  <c r="BE46" i="5"/>
  <c r="BM46" i="5"/>
  <c r="BU46" i="5"/>
  <c r="CC46" i="5"/>
  <c r="AK46" i="5"/>
  <c r="AS46" i="5"/>
  <c r="BA46" i="5"/>
  <c r="BI46" i="5"/>
  <c r="BQ46" i="5"/>
  <c r="BY46" i="5"/>
  <c r="CG46" i="5"/>
  <c r="AJ49" i="5"/>
  <c r="AR49" i="5"/>
  <c r="AZ49" i="5"/>
  <c r="BL49" i="5"/>
  <c r="BT49" i="5"/>
  <c r="CB49" i="5"/>
  <c r="AM49" i="5"/>
  <c r="AU49" i="5"/>
  <c r="BC49" i="5"/>
  <c r="BK49" i="5"/>
  <c r="BS49" i="5"/>
  <c r="AN49" i="5"/>
  <c r="AV49" i="5"/>
  <c r="BD49" i="5"/>
  <c r="BH49" i="5"/>
  <c r="BP49" i="5"/>
  <c r="BX49" i="5"/>
  <c r="CF49" i="5"/>
  <c r="AQ49" i="5"/>
  <c r="AY49" i="5"/>
  <c r="BG49" i="5"/>
  <c r="BO49" i="5"/>
  <c r="CA49" i="5"/>
  <c r="BW49" i="5"/>
  <c r="CE49" i="5"/>
  <c r="BR44" i="5"/>
  <c r="AK44" i="5"/>
  <c r="AS44" i="5"/>
  <c r="BA44" i="5"/>
  <c r="BI44" i="5"/>
  <c r="BQ44" i="5"/>
  <c r="BY44" i="5"/>
  <c r="CG44" i="5"/>
  <c r="AL44" i="5"/>
  <c r="AP44" i="5"/>
  <c r="AT44" i="5"/>
  <c r="AX44" i="5"/>
  <c r="BB44" i="5"/>
  <c r="BF44" i="5"/>
  <c r="BJ44" i="5"/>
  <c r="BN44" i="5"/>
  <c r="BV44" i="5"/>
  <c r="BZ44" i="5"/>
  <c r="CD44" i="5"/>
  <c r="AI44" i="5"/>
  <c r="AO44" i="5"/>
  <c r="AW44" i="5"/>
  <c r="BE44" i="5"/>
  <c r="BM44" i="5"/>
  <c r="BU44" i="5"/>
  <c r="CC44" i="5"/>
  <c r="AJ45" i="5"/>
  <c r="AV45" i="5"/>
  <c r="BD45" i="5"/>
  <c r="BL45" i="5"/>
  <c r="BT45" i="5"/>
  <c r="CB45" i="5"/>
  <c r="AQ45" i="5"/>
  <c r="AY45" i="5"/>
  <c r="BG45" i="5"/>
  <c r="BO45" i="5"/>
  <c r="BW45" i="5"/>
  <c r="CE45" i="5"/>
  <c r="AN45" i="5"/>
  <c r="AR45" i="5"/>
  <c r="AZ45" i="5"/>
  <c r="BH45" i="5"/>
  <c r="BP45" i="5"/>
  <c r="BX45" i="5"/>
  <c r="CF45" i="5"/>
  <c r="AM45" i="5"/>
  <c r="AU45" i="5"/>
  <c r="BC45" i="5"/>
  <c r="BK45" i="5"/>
  <c r="BS45" i="5"/>
  <c r="CA45" i="5"/>
  <c r="AS50" i="5"/>
  <c r="BI50" i="5"/>
  <c r="BY50" i="5"/>
  <c r="AO50" i="5"/>
  <c r="BE50" i="5"/>
  <c r="BU50" i="5"/>
  <c r="AK50" i="5"/>
  <c r="BA50" i="5"/>
  <c r="BQ50" i="5"/>
  <c r="CG50" i="5"/>
  <c r="AW50" i="5"/>
  <c r="BM50" i="5"/>
  <c r="CC50" i="5"/>
  <c r="AP48" i="5"/>
  <c r="AX48" i="5"/>
  <c r="BF48" i="5"/>
  <c r="BR48" i="5"/>
  <c r="BZ48" i="5"/>
  <c r="AI48" i="5"/>
  <c r="AK48" i="5"/>
  <c r="AW48" i="5"/>
  <c r="BE48" i="5"/>
  <c r="BM48" i="5"/>
  <c r="BY48" i="5"/>
  <c r="CC48" i="5"/>
  <c r="AL48" i="5"/>
  <c r="AT48" i="5"/>
  <c r="BB48" i="5"/>
  <c r="BJ48" i="5"/>
  <c r="BN48" i="5"/>
  <c r="BV48" i="5"/>
  <c r="CD48" i="5"/>
  <c r="AO48" i="5"/>
  <c r="AS48" i="5"/>
  <c r="BA48" i="5"/>
  <c r="BI48" i="5"/>
  <c r="BQ48" i="5"/>
  <c r="BU48" i="5"/>
  <c r="CG48" i="5"/>
  <c r="AN43" i="5"/>
  <c r="AM43" i="5"/>
  <c r="BC43" i="5"/>
  <c r="BK43" i="5"/>
  <c r="BS43" i="5"/>
  <c r="CA43" i="5"/>
  <c r="AJ43" i="5"/>
  <c r="AR43" i="5"/>
  <c r="AV43" i="5"/>
  <c r="AZ43" i="5"/>
  <c r="BD43" i="5"/>
  <c r="BH43" i="5"/>
  <c r="BL43" i="5"/>
  <c r="BP43" i="5"/>
  <c r="BT43" i="5"/>
  <c r="BX43" i="5"/>
  <c r="CB43" i="5"/>
  <c r="CF43" i="5"/>
  <c r="AQ43" i="5"/>
  <c r="AU43" i="5"/>
  <c r="AY43" i="5"/>
  <c r="BG43" i="5"/>
  <c r="BO43" i="5"/>
  <c r="BW43" i="5"/>
  <c r="CE43" i="5"/>
  <c r="AX46" i="5"/>
  <c r="BN46" i="5"/>
  <c r="CD46" i="5"/>
  <c r="AV46" i="5"/>
  <c r="BL46" i="5"/>
  <c r="CB46" i="5"/>
  <c r="AU46" i="5"/>
  <c r="BK46" i="5"/>
  <c r="CA46" i="5"/>
  <c r="AT46" i="5"/>
  <c r="BJ46" i="5"/>
  <c r="BZ46" i="5"/>
  <c r="AS49" i="5"/>
  <c r="BI49" i="5"/>
  <c r="BY49" i="5"/>
  <c r="AR46" i="5"/>
  <c r="BH46" i="5"/>
  <c r="BX46" i="5"/>
  <c r="AI49" i="5"/>
  <c r="AQ46" i="5"/>
  <c r="BG46" i="5"/>
  <c r="BW46" i="5"/>
  <c r="AP49" i="5"/>
  <c r="BF49" i="5"/>
  <c r="BV49" i="5"/>
  <c r="AV44" i="5"/>
  <c r="BL44" i="5"/>
  <c r="CB44" i="5"/>
  <c r="AS45" i="5"/>
  <c r="BI45" i="5"/>
  <c r="BY45" i="5"/>
  <c r="AP46" i="5"/>
  <c r="BF46" i="5"/>
  <c r="BV46" i="5"/>
  <c r="AO49" i="5"/>
  <c r="BE49" i="5"/>
  <c r="BU49" i="5"/>
  <c r="AU44" i="5"/>
  <c r="BK44" i="5"/>
  <c r="CA44" i="5"/>
  <c r="AN46" i="5"/>
  <c r="BD46" i="5"/>
  <c r="BT46" i="5"/>
  <c r="AP45" i="5"/>
  <c r="BF45" i="5"/>
  <c r="BV45" i="5"/>
  <c r="AM46" i="5"/>
  <c r="BC46" i="5"/>
  <c r="BS46" i="5"/>
  <c r="AL49" i="5"/>
  <c r="BB49" i="5"/>
  <c r="BR49" i="5"/>
  <c r="AR44" i="5"/>
  <c r="BH44" i="5"/>
  <c r="BX44" i="5"/>
  <c r="AO45" i="5"/>
  <c r="BE45" i="5"/>
  <c r="BU45" i="5"/>
  <c r="AL46" i="5"/>
  <c r="BB46" i="5"/>
  <c r="BR46" i="5"/>
  <c r="AK49" i="5"/>
  <c r="BA49" i="5"/>
  <c r="BQ49" i="5"/>
  <c r="CG49" i="5"/>
  <c r="AX50" i="5"/>
  <c r="BN50" i="5"/>
  <c r="CD50" i="5"/>
  <c r="AQ44" i="5"/>
  <c r="BG44" i="5"/>
  <c r="BW44" i="5"/>
  <c r="AJ46" i="5"/>
  <c r="AZ46" i="5"/>
  <c r="BP46" i="5"/>
  <c r="CF46" i="5"/>
  <c r="AN50" i="5"/>
  <c r="BD50" i="5"/>
  <c r="BT50" i="5"/>
  <c r="AL45" i="5"/>
  <c r="BB45" i="5"/>
  <c r="BR45" i="5"/>
  <c r="AI46" i="5"/>
  <c r="AY46" i="5"/>
  <c r="BO46" i="5"/>
  <c r="CE46" i="5"/>
  <c r="AX49" i="5"/>
  <c r="BN49" i="5"/>
  <c r="CD49" i="5"/>
  <c r="AU50" i="5"/>
  <c r="BK50" i="5"/>
  <c r="CA50" i="5"/>
</calcChain>
</file>

<file path=xl/sharedStrings.xml><?xml version="1.0" encoding="utf-8"?>
<sst xmlns="http://schemas.openxmlformats.org/spreadsheetml/2006/main" count="1448" uniqueCount="288">
  <si>
    <t>params</t>
  </si>
  <si>
    <t>foodweb</t>
  </si>
  <si>
    <t>case</t>
  </si>
  <si>
    <t>res</t>
  </si>
  <si>
    <t>='Forage</t>
  </si>
  <si>
    <t>fish';</t>
  </si>
  <si>
    <t>='Spiny</t>
  </si>
  <si>
    <t>dogfish';</t>
  </si>
  <si>
    <t>=</t>
  </si>
  <si>
    <t>'Winter</t>
  </si>
  <si>
    <t>skate';</t>
  </si>
  <si>
    <t>'Little</t>
  </si>
  <si>
    <t>'Atlantic</t>
  </si>
  <si>
    <t>herring';</t>
  </si>
  <si>
    <t>'Silver</t>
  </si>
  <si>
    <t>hake';</t>
  </si>
  <si>
    <t>cod';</t>
  </si>
  <si>
    <t>'Haddock';</t>
  </si>
  <si>
    <t>'Pollock';</t>
  </si>
  <si>
    <t>'White</t>
  </si>
  <si>
    <t>'Red</t>
  </si>
  <si>
    <t>'Fourspot</t>
  </si>
  <si>
    <t>flounder';</t>
  </si>
  <si>
    <t>'Summer</t>
  </si>
  <si>
    <t>'Yellowtail</t>
  </si>
  <si>
    <t>'Witch</t>
  </si>
  <si>
    <t>'Windowpane';</t>
  </si>
  <si>
    <t>mackerel';</t>
  </si>
  <si>
    <t>'Longhorn</t>
  </si>
  <si>
    <t>sculpin';</t>
  </si>
  <si>
    <t>'Sea</t>
  </si>
  <si>
    <t>raven';</t>
  </si>
  <si>
    <t>'Goosefish';</t>
  </si>
  <si>
    <t>'Sandlance';</t>
  </si>
  <si>
    <t>foragefish</t>
  </si>
  <si>
    <t>spinydog</t>
  </si>
  <si>
    <t>winterskate</t>
  </si>
  <si>
    <t>littleskate</t>
  </si>
  <si>
    <t>Aherring</t>
  </si>
  <si>
    <t>silverhake</t>
  </si>
  <si>
    <t>Acod</t>
  </si>
  <si>
    <t>haddock</t>
  </si>
  <si>
    <t>pollock</t>
  </si>
  <si>
    <t>redhake</t>
  </si>
  <si>
    <t>whitehake</t>
  </si>
  <si>
    <t>winterfl</t>
  </si>
  <si>
    <t>witchfl</t>
  </si>
  <si>
    <t>yellowtailfl</t>
  </si>
  <si>
    <t>fourspotfl</t>
  </si>
  <si>
    <t>summerfl</t>
  </si>
  <si>
    <t>windowpane</t>
  </si>
  <si>
    <t>Amackerel</t>
  </si>
  <si>
    <t>longhornsculpin</t>
  </si>
  <si>
    <t>searaven</t>
  </si>
  <si>
    <t>goosefish</t>
  </si>
  <si>
    <t>sandlance</t>
  </si>
  <si>
    <t>vonB_k</t>
  </si>
  <si>
    <t>Linf</t>
  </si>
  <si>
    <t>Lmat</t>
  </si>
  <si>
    <t>kappamat</t>
  </si>
  <si>
    <t>lwt_a</t>
  </si>
  <si>
    <t>lwt_b</t>
  </si>
  <si>
    <t>maxSSB</t>
  </si>
  <si>
    <t>fished?</t>
  </si>
  <si>
    <t>init n at size</t>
  </si>
  <si>
    <t>maxsize</t>
  </si>
  <si>
    <t>max Linf determined n size classes, all other in same</t>
  </si>
  <si>
    <t>nsc</t>
  </si>
  <si>
    <t>n size classes</t>
  </si>
  <si>
    <t>10 cm wide bins (approx)</t>
  </si>
  <si>
    <t>binwidth</t>
  </si>
  <si>
    <t>preds-&gt;</t>
  </si>
  <si>
    <t>prey</t>
  </si>
  <si>
    <t>inMSprod</t>
  </si>
  <si>
    <t>agg</t>
  </si>
  <si>
    <t>use</t>
  </si>
  <si>
    <t>maxbin</t>
  </si>
  <si>
    <t>Initial n at size (sum bins above assuming they are 10 cm)</t>
  </si>
  <si>
    <t>bin1</t>
  </si>
  <si>
    <t>bin2</t>
  </si>
  <si>
    <t>bin3</t>
  </si>
  <si>
    <t>bin4</t>
  </si>
  <si>
    <t>bin5</t>
  </si>
  <si>
    <t>for smaller bins, divide in half to approximate</t>
  </si>
  <si>
    <t>N_mult</t>
  </si>
  <si>
    <t>convert catch per tow to total N (from Jason's data) used in LeMANS</t>
  </si>
  <si>
    <t>yr1N</t>
  </si>
  <si>
    <t>changed sea raven bin 1 to be non zero</t>
  </si>
  <si>
    <t>round to nearest whole number</t>
  </si>
  <si>
    <t>values</t>
  </si>
  <si>
    <t>fecundity</t>
  </si>
  <si>
    <t>L50mat</t>
  </si>
  <si>
    <t>L50matbin</t>
  </si>
  <si>
    <t>mat_nu</t>
  </si>
  <si>
    <t>mat_omega</t>
  </si>
  <si>
    <t>used as first approximations</t>
  </si>
  <si>
    <t>need to fit to maturity data</t>
  </si>
  <si>
    <t>d</t>
  </si>
  <si>
    <t>h</t>
  </si>
  <si>
    <t>theta</t>
  </si>
  <si>
    <t>fecundity=theta*(d*lbinmidpt^h)</t>
  </si>
  <si>
    <t>(2-15 pups/yr)</t>
  </si>
  <si>
    <t>21-35 eggs/yr average, Frisk et al 2002</t>
  </si>
  <si>
    <t>range 30-160K eggs, Kelly and Stevenson 1985</t>
  </si>
  <si>
    <t>d,h from Alonzo-Fernandes et al 2009</t>
  </si>
  <si>
    <t>adjusted for mm vs cm, from Ytail SA doc 2012</t>
  </si>
  <si>
    <t>range 400K-3.6M eggs (1989 spp profile), modified from Ytail</t>
  </si>
  <si>
    <t>range 400K-1.9M (Morse 1980) h adjusted for cm</t>
  </si>
  <si>
    <t>avg 15K, max 40K fogBigelowSchroeder</t>
  </si>
  <si>
    <t>pars from Sandlance spp profile 1986</t>
  </si>
  <si>
    <t>INPUT millions of fish for N units</t>
  </si>
  <si>
    <t>recruitment</t>
  </si>
  <si>
    <t>recruitment=(rec_alpha*EggProd(t-1)^rec_shape)*exp(-rec_beta*EggProd(t-1)+covariates)</t>
  </si>
  <si>
    <t>alpha</t>
  </si>
  <si>
    <t>shape</t>
  </si>
  <si>
    <t>beta</t>
  </si>
  <si>
    <t>propmat=1/(1+exp(-(mat_nu+mat_omega*lbinmidpt)))</t>
  </si>
  <si>
    <t>a</t>
  </si>
  <si>
    <t>b</t>
  </si>
  <si>
    <t>mat dat Obrien et al 1993 (avg male and female)</t>
  </si>
  <si>
    <t>GB</t>
  </si>
  <si>
    <t>2009*</t>
  </si>
  <si>
    <t>Dogfish, Kt</t>
  </si>
  <si>
    <t>scale to range of init bin 1 with alpha</t>
  </si>
  <si>
    <t>shape/beta=eggprod at max R, get to eggprod order of magnitude</t>
  </si>
  <si>
    <t>these are invented input parameters</t>
  </si>
  <si>
    <t>used following methods</t>
  </si>
  <si>
    <t xml:space="preserve">used these from Obrien </t>
  </si>
  <si>
    <t>length=growth_psi*age^growth_kappa*exp(covariates)</t>
  </si>
  <si>
    <t>psi</t>
  </si>
  <si>
    <t>kappa</t>
  </si>
  <si>
    <t>see text file with R transcript</t>
  </si>
  <si>
    <t>*or just fit to length at age data from surveys</t>
  </si>
  <si>
    <t>*</t>
  </si>
  <si>
    <t>n ages in data</t>
  </si>
  <si>
    <t>tot ages</t>
  </si>
  <si>
    <t>!refit to vonB curves from pars above, assuming t0=0</t>
  </si>
  <si>
    <t>!</t>
  </si>
  <si>
    <t>intake=24*(intake_alpha*exp(intake_beta*temperature)*mean_daily_stomwt</t>
  </si>
  <si>
    <t>from Link, used in Butterfish appendix</t>
  </si>
  <si>
    <t>stomach weights from FoodHabits18spp_197376.xlsx</t>
  </si>
  <si>
    <t>direct data for cod, haddock, yellowtail</t>
  </si>
  <si>
    <t>used proxies for other species</t>
  </si>
  <si>
    <t xml:space="preserve"> redo with database query</t>
  </si>
  <si>
    <t>fishery selectivity = 1/(1+exp(-(sel_c+sel_d*lbinmidpt)))</t>
  </si>
  <si>
    <t>sel_c</t>
  </si>
  <si>
    <t>sel_d</t>
  </si>
  <si>
    <t>from DeAlteris and Grogan 1997 Tech Report</t>
  </si>
  <si>
    <t>their alpha2 (curve steepness) is our sel_d</t>
  </si>
  <si>
    <t>their SelectionFactor SF is L50% selection/avg mesh or hook size</t>
  </si>
  <si>
    <t>our sel_c is -alpha2*L50</t>
  </si>
  <si>
    <t>so sel_c = -d*SF*avg mesh or hook size</t>
  </si>
  <si>
    <t>used average values for diamond mesh trawl (gear 1) and offshore trap (gear 2) because they existed for all species studied</t>
  </si>
  <si>
    <t>alpha2</t>
  </si>
  <si>
    <t>SF</t>
  </si>
  <si>
    <t>mesh size</t>
  </si>
  <si>
    <t>p 39</t>
  </si>
  <si>
    <t>p 37</t>
  </si>
  <si>
    <t>p 42</t>
  </si>
  <si>
    <t>sel= 1/(1+exp(-alpha2*(len-L50)))</t>
  </si>
  <si>
    <t>which were Acod, haddock, yellowtailfl and winterfl</t>
  </si>
  <si>
    <t>they report SF (defined on p 11)</t>
  </si>
  <si>
    <t>hook size</t>
  </si>
  <si>
    <t>not selected</t>
  </si>
  <si>
    <t>p 47</t>
  </si>
  <si>
    <t>trawl(fleet1)</t>
  </si>
  <si>
    <t>longline(fleet2)</t>
  </si>
  <si>
    <t>decisions: trawl fleet will catch all species but sandlance, longline fleet will catch cod, haddock, spinydog, winterskate, searaven</t>
  </si>
  <si>
    <t>L50</t>
  </si>
  <si>
    <t>! Are invented</t>
  </si>
  <si>
    <t>source</t>
  </si>
  <si>
    <t>cod</t>
  </si>
  <si>
    <t>sel_c.1</t>
  </si>
  <si>
    <t>sel_c.2</t>
  </si>
  <si>
    <t>sel_d.1</t>
  </si>
  <si>
    <t>sel_d.2</t>
  </si>
  <si>
    <t>inputs</t>
  </si>
  <si>
    <t>Year</t>
  </si>
  <si>
    <t>Mackerel</t>
  </si>
  <si>
    <t>Herring</t>
  </si>
  <si>
    <t>Other demersal flatfish</t>
  </si>
  <si>
    <t>Other pelagics</t>
  </si>
  <si>
    <t>Cod</t>
  </si>
  <si>
    <t>Other demersals</t>
  </si>
  <si>
    <t>Haddock</t>
  </si>
  <si>
    <t>YT</t>
  </si>
  <si>
    <t>Spiny Dogfish</t>
  </si>
  <si>
    <t>Skates and rays</t>
  </si>
  <si>
    <t>Sea raven</t>
  </si>
  <si>
    <t>Sandlance</t>
  </si>
  <si>
    <t>relBio</t>
  </si>
  <si>
    <t>keep curves somewhat flat, shape&lt;1</t>
  </si>
  <si>
    <t>RelFPL</t>
  </si>
  <si>
    <t>RelFPS</t>
  </si>
  <si>
    <t>RelFVB</t>
  </si>
  <si>
    <t>RelFBP</t>
  </si>
  <si>
    <t>RelFDS</t>
  </si>
  <si>
    <t>RelFDC</t>
  </si>
  <si>
    <t>RelFDO</t>
  </si>
  <si>
    <t>RelFDF</t>
  </si>
  <si>
    <t>RelSHB</t>
  </si>
  <si>
    <t>RelSSK</t>
  </si>
  <si>
    <t>FPL</t>
  </si>
  <si>
    <t>FPS</t>
  </si>
  <si>
    <t>FVB</t>
  </si>
  <si>
    <t>FBP</t>
  </si>
  <si>
    <t>FDS</t>
  </si>
  <si>
    <t>FDC</t>
  </si>
  <si>
    <t>FDO</t>
  </si>
  <si>
    <t>FDF</t>
  </si>
  <si>
    <t>SHB</t>
  </si>
  <si>
    <t>SSK</t>
  </si>
  <si>
    <t>lm_alpha</t>
  </si>
  <si>
    <t>lm_beta</t>
  </si>
  <si>
    <t>alpha_int</t>
  </si>
  <si>
    <t>alpha_exp</t>
  </si>
  <si>
    <t>beta_int</t>
  </si>
  <si>
    <t>beta_exp</t>
  </si>
  <si>
    <t>these are in LeMANS</t>
  </si>
  <si>
    <t>mat</t>
  </si>
  <si>
    <t>maxReggprod</t>
  </si>
  <si>
    <t>maxR</t>
  </si>
  <si>
    <t>initial bio from my mod</t>
  </si>
  <si>
    <t>catch/bio</t>
  </si>
  <si>
    <t>scale</t>
  </si>
  <si>
    <t>catch</t>
  </si>
  <si>
    <t>Table</t>
  </si>
  <si>
    <t>B1.</t>
  </si>
  <si>
    <t>Georges</t>
  </si>
  <si>
    <t>Bank</t>
  </si>
  <si>
    <t>total</t>
  </si>
  <si>
    <t>biomass</t>
  </si>
  <si>
    <t>(mt)</t>
  </si>
  <si>
    <t>by</t>
  </si>
  <si>
    <t>country,</t>
  </si>
  <si>
    <t>1960-2010.</t>
  </si>
  <si>
    <t>USA</t>
  </si>
  <si>
    <t>Canada</t>
  </si>
  <si>
    <t>USSR</t>
  </si>
  <si>
    <t>Spain</t>
  </si>
  <si>
    <t>Other</t>
  </si>
  <si>
    <t>Total</t>
  </si>
  <si>
    <t>B-</t>
  </si>
  <si>
    <t>B16.</t>
  </si>
  <si>
    <t>SSB</t>
  </si>
  <si>
    <t>Biomass</t>
  </si>
  <si>
    <t>GB Haddock SSB and Jan1B</t>
  </si>
  <si>
    <t>Atlantis</t>
  </si>
  <si>
    <t>Expl rate Atlantis</t>
  </si>
  <si>
    <t>Avg Expl Rate</t>
  </si>
  <si>
    <t>Log expl rate</t>
  </si>
  <si>
    <t>Devs (log10)</t>
  </si>
  <si>
    <t>winter+little</t>
  </si>
  <si>
    <t>not using</t>
  </si>
  <si>
    <r>
      <t>simple sum of winter plus little--</t>
    </r>
    <r>
      <rPr>
        <b/>
        <sz val="11"/>
        <color theme="1"/>
        <rFont val="Calibri"/>
        <family val="2"/>
        <scheme val="minor"/>
      </rPr>
      <t>a pain for all other pars, keep just winter right now</t>
    </r>
  </si>
  <si>
    <t>GOMNGB</t>
  </si>
  <si>
    <t>All</t>
  </si>
  <si>
    <t>goosefish &gt;70 cm all F? (size specific sex ratio needed in code?)</t>
  </si>
  <si>
    <t>also, goosefish stock structure splits GB in half. Awesome.</t>
  </si>
  <si>
    <t>Richards et al 2008</t>
  </si>
  <si>
    <t>averaging M and F probably makes no sense</t>
  </si>
  <si>
    <t>NMA</t>
  </si>
  <si>
    <t>using Northern goosefish stock info (includes GOM).</t>
  </si>
  <si>
    <t>Fecundity = 4,495.04(TLmm) - 2,403,814.8; 3.5M fogBigelowSchroeder</t>
  </si>
  <si>
    <r>
      <t>(2-15 pups/</t>
    </r>
    <r>
      <rPr>
        <b/>
        <sz val="11"/>
        <color theme="1"/>
        <rFont val="Calibri"/>
        <family val="2"/>
        <scheme val="minor"/>
      </rPr>
      <t>every other</t>
    </r>
    <r>
      <rPr>
        <sz val="11"/>
        <color theme="1"/>
        <rFont val="Calibri"/>
        <family val="2"/>
        <scheme val="minor"/>
      </rPr>
      <t xml:space="preserve"> yr)</t>
    </r>
  </si>
  <si>
    <t>silver hake stock also splits GB in half. Using northern which includes GOM</t>
  </si>
  <si>
    <t>300-400K for 25-35 cm (B&amp;S excerpt)</t>
  </si>
  <si>
    <t>butterfish</t>
  </si>
  <si>
    <t>bluefish</t>
  </si>
  <si>
    <t>stripedbass</t>
  </si>
  <si>
    <t>now see lenage_fits.r for full program and GBlenage_GrowthPars.csv for output</t>
  </si>
  <si>
    <t>RelFDB</t>
  </si>
  <si>
    <t>Silver hake</t>
  </si>
  <si>
    <t>RelFDD</t>
  </si>
  <si>
    <t>Goosefish</t>
  </si>
  <si>
    <t>placeholders</t>
  </si>
  <si>
    <t>FDB</t>
  </si>
  <si>
    <t>FDD</t>
  </si>
  <si>
    <t>direct data for cod, haddock, yellowtail, silverhake</t>
  </si>
  <si>
    <t>used proxies for other species (dogfish=goosefish)</t>
  </si>
  <si>
    <t>hake=haddock, goosefish=searaven</t>
  </si>
  <si>
    <t>vonB_k*</t>
  </si>
  <si>
    <t>Linf*</t>
  </si>
  <si>
    <t>*use my fitted parameters instead--see Gblenage_growthpars.csv, changes in red to accommodate reduced growth for herring, silverhake</t>
  </si>
  <si>
    <t>*use my fitted parameters instead--see MABlenage_growthpars.csv</t>
  </si>
  <si>
    <t>now see lenage_fits.r for full program and MABlenage_GrowthPars.csv for output</t>
  </si>
  <si>
    <t>query MABlenage.sql</t>
  </si>
  <si>
    <t>query Gblenage.sql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</si>
</sst>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1" fillId="0" borderId="0" xfId="0" applyFont="1"/>
    <xf numFmtId="0" fontId="2" fillId="0" borderId="0" xfId="1" applyNumberFormat="1" applyFont="1"/>
    <xf numFmtId="0" fontId="2" fillId="0" borderId="0" xfId="1"/>
    <xf numFmtId="0" fontId="2" fillId="0" borderId="0" xfId="1" applyNumberFormat="1"/>
    <xf numFmtId="11" fontId="2" fillId="0" borderId="0" xfId="1" applyNumberFormat="1" applyFont="1"/>
    <xf numFmtId="11" fontId="2" fillId="0" borderId="0" xfId="1" applyNumberFormat="1"/>
    <xf numFmtId="0" fontId="2" fillId="0" borderId="0" xfId="1" applyFill="1"/>
    <xf numFmtId="0" fontId="2" fillId="2" borderId="0" xfId="1" applyFill="1"/>
    <xf numFmtId="11" fontId="0" fillId="2" borderId="0" xfId="0" applyNumberFormat="1" applyFill="1"/>
    <xf numFmtId="16" fontId="0" fillId="0" borderId="0" xfId="0" applyNumberFormat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0" fontId="3" fillId="4" borderId="0" xfId="0" applyFont="1" applyFill="1"/>
    <xf numFmtId="0" fontId="0" fillId="5" borderId="0" xfId="0" applyFill="1"/>
    <xf numFmtId="0" fontId="0" fillId="0" borderId="0" xfId="0" applyAlignment="1"/>
    <xf numFmtId="0" fontId="0" fillId="6" borderId="0" xfId="0" applyFill="1"/>
    <xf numFmtId="0" fontId="5" fillId="0" borderId="0" xfId="1" applyFont="1"/>
    <xf numFmtId="11" fontId="4" fillId="2" borderId="0" xfId="0" applyNumberFormat="1" applyFont="1" applyFill="1"/>
    <xf numFmtId="0" fontId="4" fillId="2" borderId="0" xfId="0" applyFont="1" applyFill="1"/>
    <xf numFmtId="11" fontId="4" fillId="0" borderId="0" xfId="0" applyNumberFormat="1" applyFon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4" fillId="0" borderId="0" xfId="0" applyFont="1"/>
    <xf numFmtId="0" fontId="4" fillId="4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'biomass Atlantis newsimGB'!$M$3</c:f>
              <c:strCache>
                <c:ptCount val="1"/>
                <c:pt idx="0">
                  <c:v>spinydog</c:v>
                </c:pt>
              </c:strCache>
            </c:strRef>
          </c:tx>
          <c:marker>
            <c:symbol val="none"/>
          </c:marker>
          <c:val>
            <c:numRef>
              <c:f>'biomass Atlantis newsimGB'!$M$4:$M$55</c:f>
              <c:numCache>
                <c:formatCode>General</c:formatCode>
                <c:ptCount val="52"/>
                <c:pt idx="0">
                  <c:v>322944.0</c:v>
                </c:pt>
                <c:pt idx="1">
                  <c:v>318582.964224</c:v>
                </c:pt>
                <c:pt idx="2">
                  <c:v>313505.315712</c:v>
                </c:pt>
                <c:pt idx="3">
                  <c:v>311187.22368</c:v>
                </c:pt>
                <c:pt idx="4">
                  <c:v>313237.272192</c:v>
                </c:pt>
                <c:pt idx="5">
                  <c:v>321777.203328</c:v>
                </c:pt>
                <c:pt idx="6">
                  <c:v>335764.230912</c:v>
                </c:pt>
                <c:pt idx="7">
                  <c:v>355575.230592</c:v>
                </c:pt>
                <c:pt idx="8">
                  <c:v>391881.24096</c:v>
                </c:pt>
                <c:pt idx="9">
                  <c:v>420356.82816</c:v>
                </c:pt>
                <c:pt idx="10">
                  <c:v>453098.182656</c:v>
                </c:pt>
                <c:pt idx="11">
                  <c:v>489544.35072</c:v>
                </c:pt>
                <c:pt idx="12">
                  <c:v>526790.451072</c:v>
                </c:pt>
                <c:pt idx="13">
                  <c:v>564224.181888</c:v>
                </c:pt>
                <c:pt idx="14">
                  <c:v>603763.18464</c:v>
                </c:pt>
                <c:pt idx="15">
                  <c:v>644112.130944</c:v>
                </c:pt>
                <c:pt idx="16">
                  <c:v>685405.04256</c:v>
                </c:pt>
                <c:pt idx="17">
                  <c:v>717264.436992</c:v>
                </c:pt>
                <c:pt idx="18">
                  <c:v>744810.268416</c:v>
                </c:pt>
                <c:pt idx="19">
                  <c:v>767269.73184</c:v>
                </c:pt>
                <c:pt idx="20">
                  <c:v>789731.1329280001</c:v>
                </c:pt>
                <c:pt idx="21">
                  <c:v>979954.837248</c:v>
                </c:pt>
                <c:pt idx="22">
                  <c:v>985479.7632</c:v>
                </c:pt>
                <c:pt idx="23">
                  <c:v>1.000515389952E6</c:v>
                </c:pt>
                <c:pt idx="24">
                  <c:v>1.023820643712E6</c:v>
                </c:pt>
                <c:pt idx="25">
                  <c:v>1.049917425408E6</c:v>
                </c:pt>
                <c:pt idx="26">
                  <c:v>1.0786894752E6</c:v>
                </c:pt>
                <c:pt idx="27">
                  <c:v>1.22478288192E6</c:v>
                </c:pt>
                <c:pt idx="28">
                  <c:v>1.201531236864E6</c:v>
                </c:pt>
                <c:pt idx="29">
                  <c:v>1.187721182592E6</c:v>
                </c:pt>
                <c:pt idx="30">
                  <c:v>1.173335965056E6</c:v>
                </c:pt>
                <c:pt idx="31">
                  <c:v>1.164290949504E6</c:v>
                </c:pt>
                <c:pt idx="32">
                  <c:v>1.15642371072E6</c:v>
                </c:pt>
                <c:pt idx="33">
                  <c:v>1.203591619584E6</c:v>
                </c:pt>
                <c:pt idx="34">
                  <c:v>1.187939492736E6</c:v>
                </c:pt>
                <c:pt idx="35">
                  <c:v>1.1749187136E6</c:v>
                </c:pt>
                <c:pt idx="36">
                  <c:v>1.16494135872E6</c:v>
                </c:pt>
                <c:pt idx="37">
                  <c:v>1.200004680576E6</c:v>
                </c:pt>
                <c:pt idx="38">
                  <c:v>1.189195421952E6</c:v>
                </c:pt>
                <c:pt idx="39">
                  <c:v>1.184021859072E6</c:v>
                </c:pt>
                <c:pt idx="40">
                  <c:v>1.294204861824E6</c:v>
                </c:pt>
                <c:pt idx="41">
                  <c:v>1.256708156928E6</c:v>
                </c:pt>
                <c:pt idx="42">
                  <c:v>1.225214335104E6</c:v>
                </c:pt>
                <c:pt idx="43">
                  <c:v>1.195731485568E6</c:v>
                </c:pt>
                <c:pt idx="44">
                  <c:v>1.168301268096E6</c:v>
                </c:pt>
                <c:pt idx="45">
                  <c:v>1.144856825472E6</c:v>
                </c:pt>
                <c:pt idx="46">
                  <c:v>1.12343821056E6</c:v>
                </c:pt>
                <c:pt idx="47">
                  <c:v>1.104724897536E6</c:v>
                </c:pt>
                <c:pt idx="48">
                  <c:v>1.0939970208E6</c:v>
                </c:pt>
                <c:pt idx="49">
                  <c:v>1.076095911936E6</c:v>
                </c:pt>
                <c:pt idx="50">
                  <c:v>1.134127979904E6</c:v>
                </c:pt>
                <c:pt idx="51">
                  <c:v>1.138306229376E6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'biomass Atlantis newsimGB'!$N$3</c:f>
              <c:strCache>
                <c:ptCount val="1"/>
                <c:pt idx="0">
                  <c:v>winterskate</c:v>
                </c:pt>
              </c:strCache>
            </c:strRef>
          </c:tx>
          <c:marker>
            <c:symbol val="none"/>
          </c:marker>
          <c:val>
            <c:numRef>
              <c:f>'biomass Atlantis newsimGB'!$N$4:$N$55</c:f>
              <c:numCache>
                <c:formatCode>General</c:formatCode>
                <c:ptCount val="52"/>
                <c:pt idx="0" formatCode="0.00E+00">
                  <c:v>9.41377E6</c:v>
                </c:pt>
                <c:pt idx="1">
                  <c:v>1.230536007582E7</c:v>
                </c:pt>
                <c:pt idx="2">
                  <c:v>1.452352670092E7</c:v>
                </c:pt>
                <c:pt idx="3">
                  <c:v>1.634623026209E7</c:v>
                </c:pt>
                <c:pt idx="4">
                  <c:v>1.753808885425E7</c:v>
                </c:pt>
                <c:pt idx="5">
                  <c:v>1.873047461753E7</c:v>
                </c:pt>
                <c:pt idx="6">
                  <c:v>1.993061732729E7</c:v>
                </c:pt>
                <c:pt idx="7">
                  <c:v>2.038185697847E7</c:v>
                </c:pt>
                <c:pt idx="8">
                  <c:v>2.112326667613E7</c:v>
                </c:pt>
                <c:pt idx="9">
                  <c:v>2.190806443972E7</c:v>
                </c:pt>
                <c:pt idx="10">
                  <c:v>2.184116077633E7</c:v>
                </c:pt>
                <c:pt idx="11">
                  <c:v>2.215891316891E7</c:v>
                </c:pt>
                <c:pt idx="12">
                  <c:v>2.238948463752E7</c:v>
                </c:pt>
                <c:pt idx="13">
                  <c:v>2.154186878672E7</c:v>
                </c:pt>
                <c:pt idx="14">
                  <c:v>2.130840729072E7</c:v>
                </c:pt>
                <c:pt idx="15">
                  <c:v>2.110674550978E7</c:v>
                </c:pt>
                <c:pt idx="16">
                  <c:v>1.975341252081E7</c:v>
                </c:pt>
                <c:pt idx="17">
                  <c:v>1.906847602938E7</c:v>
                </c:pt>
                <c:pt idx="18">
                  <c:v>1.833645186041E7</c:v>
                </c:pt>
                <c:pt idx="19">
                  <c:v>1.694625454812E7</c:v>
                </c:pt>
                <c:pt idx="20">
                  <c:v>1.608542176424E7</c:v>
                </c:pt>
                <c:pt idx="21">
                  <c:v>1.553914069114E7</c:v>
                </c:pt>
                <c:pt idx="22">
                  <c:v>1.437354651728E7</c:v>
                </c:pt>
                <c:pt idx="23">
                  <c:v>1.35893418212E7</c:v>
                </c:pt>
                <c:pt idx="24">
                  <c:v>1.286860476246E7</c:v>
                </c:pt>
                <c:pt idx="25">
                  <c:v>1.220512225286E7</c:v>
                </c:pt>
                <c:pt idx="26">
                  <c:v>1.159093965675E7</c:v>
                </c:pt>
                <c:pt idx="27">
                  <c:v>1.10957282859E7</c:v>
                </c:pt>
                <c:pt idx="28">
                  <c:v>1.065048520621E7</c:v>
                </c:pt>
                <c:pt idx="29">
                  <c:v>1.022807051877E7</c:v>
                </c:pt>
                <c:pt idx="30">
                  <c:v>9.91445077122E6</c:v>
                </c:pt>
                <c:pt idx="31">
                  <c:v>9.59371421355E6</c:v>
                </c:pt>
                <c:pt idx="32">
                  <c:v>9.22676545895E6</c:v>
                </c:pt>
                <c:pt idx="33">
                  <c:v>8.99366168621E6</c:v>
                </c:pt>
                <c:pt idx="34">
                  <c:v>8.6959700375E6</c:v>
                </c:pt>
                <c:pt idx="35">
                  <c:v>8.46943707622E6</c:v>
                </c:pt>
                <c:pt idx="36">
                  <c:v>8.21550063047E6</c:v>
                </c:pt>
                <c:pt idx="37">
                  <c:v>8.03754272239E6</c:v>
                </c:pt>
                <c:pt idx="38">
                  <c:v>7.92357962277E6</c:v>
                </c:pt>
                <c:pt idx="39">
                  <c:v>7.8592741599E6</c:v>
                </c:pt>
                <c:pt idx="40">
                  <c:v>7.79398025118E6</c:v>
                </c:pt>
                <c:pt idx="41">
                  <c:v>7.76656735294E6</c:v>
                </c:pt>
                <c:pt idx="42">
                  <c:v>7.73018313189E6</c:v>
                </c:pt>
                <c:pt idx="43">
                  <c:v>7.6732580647E6</c:v>
                </c:pt>
                <c:pt idx="44">
                  <c:v>7.68021484073E6</c:v>
                </c:pt>
                <c:pt idx="45">
                  <c:v>7.66371250192E6</c:v>
                </c:pt>
                <c:pt idx="46">
                  <c:v>7.63940614778E6</c:v>
                </c:pt>
                <c:pt idx="47">
                  <c:v>7.64760554145E6</c:v>
                </c:pt>
                <c:pt idx="48">
                  <c:v>7.69545573436E6</c:v>
                </c:pt>
                <c:pt idx="49">
                  <c:v>7.7084655645E6</c:v>
                </c:pt>
                <c:pt idx="50">
                  <c:v>7.72300983915E6</c:v>
                </c:pt>
                <c:pt idx="51">
                  <c:v>7.76092850471E6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'biomass Atlantis newsimGB'!$O$3</c:f>
              <c:strCache>
                <c:ptCount val="1"/>
                <c:pt idx="0">
                  <c:v>Aherring</c:v>
                </c:pt>
              </c:strCache>
            </c:strRef>
          </c:tx>
          <c:marker>
            <c:symbol val="none"/>
          </c:marker>
          <c:val>
            <c:numRef>
              <c:f>'biomass Atlantis newsimGB'!$O$4:$O$55</c:f>
              <c:numCache>
                <c:formatCode>General</c:formatCode>
                <c:ptCount val="52"/>
                <c:pt idx="0" formatCode="0.00E+00">
                  <c:v>2.99486E6</c:v>
                </c:pt>
                <c:pt idx="1">
                  <c:v>2.60453091162E6</c:v>
                </c:pt>
                <c:pt idx="2">
                  <c:v>2.14174118554E6</c:v>
                </c:pt>
                <c:pt idx="3">
                  <c:v>1.69651032364E6</c:v>
                </c:pt>
                <c:pt idx="4">
                  <c:v>1.31618406766E6</c:v>
                </c:pt>
                <c:pt idx="5">
                  <c:v>1.02014814638E6</c:v>
                </c:pt>
                <c:pt idx="6">
                  <c:v>796743.56982</c:v>
                </c:pt>
                <c:pt idx="7">
                  <c:v>668707.3151</c:v>
                </c:pt>
                <c:pt idx="8">
                  <c:v>542216.40814</c:v>
                </c:pt>
                <c:pt idx="9">
                  <c:v>473550.25806</c:v>
                </c:pt>
                <c:pt idx="10">
                  <c:v>448896.57054</c:v>
                </c:pt>
                <c:pt idx="11">
                  <c:v>493717.6453</c:v>
                </c:pt>
                <c:pt idx="12">
                  <c:v>397879.13044</c:v>
                </c:pt>
                <c:pt idx="13">
                  <c:v>340716.23762</c:v>
                </c:pt>
                <c:pt idx="14">
                  <c:v>668887.0067</c:v>
                </c:pt>
                <c:pt idx="15">
                  <c:v>1.0436787614E6</c:v>
                </c:pt>
                <c:pt idx="16">
                  <c:v>1.3531076966E6</c:v>
                </c:pt>
                <c:pt idx="17">
                  <c:v>1.52892394776E6</c:v>
                </c:pt>
                <c:pt idx="18">
                  <c:v>1.66283911266E6</c:v>
                </c:pt>
                <c:pt idx="19">
                  <c:v>2.16890157088E6</c:v>
                </c:pt>
                <c:pt idx="20">
                  <c:v>2.14675757604E6</c:v>
                </c:pt>
                <c:pt idx="21">
                  <c:v>2.11025921722E6</c:v>
                </c:pt>
                <c:pt idx="22">
                  <c:v>2.06690562386E6</c:v>
                </c:pt>
                <c:pt idx="23">
                  <c:v>1.997122391E6</c:v>
                </c:pt>
                <c:pt idx="24">
                  <c:v>1.9189265964E6</c:v>
                </c:pt>
                <c:pt idx="25">
                  <c:v>1.84471995532E6</c:v>
                </c:pt>
                <c:pt idx="26">
                  <c:v>1.7742748584E6</c:v>
                </c:pt>
                <c:pt idx="27">
                  <c:v>1.8545371064E6</c:v>
                </c:pt>
                <c:pt idx="28">
                  <c:v>1.77055823714E6</c:v>
                </c:pt>
                <c:pt idx="29">
                  <c:v>1.70444071292E6</c:v>
                </c:pt>
                <c:pt idx="30">
                  <c:v>2.20217147062E6</c:v>
                </c:pt>
                <c:pt idx="31">
                  <c:v>2.42011342254E6</c:v>
                </c:pt>
                <c:pt idx="32">
                  <c:v>2.19219559196E6</c:v>
                </c:pt>
                <c:pt idx="33">
                  <c:v>2.76802031902E6</c:v>
                </c:pt>
                <c:pt idx="34">
                  <c:v>2.43144896764E6</c:v>
                </c:pt>
                <c:pt idx="35">
                  <c:v>2.20883503412E6</c:v>
                </c:pt>
                <c:pt idx="36">
                  <c:v>1.98920398116E6</c:v>
                </c:pt>
                <c:pt idx="37">
                  <c:v>2.27322452412E6</c:v>
                </c:pt>
                <c:pt idx="38">
                  <c:v>2.07102655122E6</c:v>
                </c:pt>
                <c:pt idx="39">
                  <c:v>1.82740966452E6</c:v>
                </c:pt>
                <c:pt idx="40">
                  <c:v>2.54929670864E6</c:v>
                </c:pt>
                <c:pt idx="41">
                  <c:v>2.6404332933E6</c:v>
                </c:pt>
                <c:pt idx="42">
                  <c:v>2.17376821838E6</c:v>
                </c:pt>
                <c:pt idx="43">
                  <c:v>1.805002122E6</c:v>
                </c:pt>
                <c:pt idx="44">
                  <c:v>1.73253249972E6</c:v>
                </c:pt>
                <c:pt idx="45">
                  <c:v>1.45658310446E6</c:v>
                </c:pt>
                <c:pt idx="46">
                  <c:v>1.29839759412E6</c:v>
                </c:pt>
                <c:pt idx="47">
                  <c:v>1.35409001068E6</c:v>
                </c:pt>
                <c:pt idx="48">
                  <c:v>1.21854264708E6</c:v>
                </c:pt>
                <c:pt idx="49">
                  <c:v>1.13296152772E6</c:v>
                </c:pt>
                <c:pt idx="50">
                  <c:v>1.07712236302E6</c:v>
                </c:pt>
                <c:pt idx="51">
                  <c:v>1.10277333892E6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'biomass Atlantis newsimGB'!$P$3</c:f>
              <c:strCache>
                <c:ptCount val="1"/>
                <c:pt idx="0">
                  <c:v>Acod</c:v>
                </c:pt>
              </c:strCache>
            </c:strRef>
          </c:tx>
          <c:marker>
            <c:symbol val="none"/>
          </c:marker>
          <c:val>
            <c:numRef>
              <c:f>'biomass Atlantis newsimGB'!$P$4:$P$55</c:f>
              <c:numCache>
                <c:formatCode>General</c:formatCode>
                <c:ptCount val="52"/>
                <c:pt idx="0" formatCode="0.00E+00">
                  <c:v>2.77816E6</c:v>
                </c:pt>
                <c:pt idx="1">
                  <c:v>2.76369134272E6</c:v>
                </c:pt>
                <c:pt idx="2">
                  <c:v>2.83077001592E6</c:v>
                </c:pt>
                <c:pt idx="3">
                  <c:v>3.11802342544E6</c:v>
                </c:pt>
                <c:pt idx="4">
                  <c:v>3.59526686288E6</c:v>
                </c:pt>
                <c:pt idx="5">
                  <c:v>3.788993516E6</c:v>
                </c:pt>
                <c:pt idx="6">
                  <c:v>3.674255508E6</c:v>
                </c:pt>
                <c:pt idx="7">
                  <c:v>3.55028845248E6</c:v>
                </c:pt>
                <c:pt idx="8">
                  <c:v>3.39276678048E6</c:v>
                </c:pt>
                <c:pt idx="9">
                  <c:v>3.21965685272E6</c:v>
                </c:pt>
                <c:pt idx="10">
                  <c:v>3.06658023672E6</c:v>
                </c:pt>
                <c:pt idx="11">
                  <c:v>2.91262572216E6</c:v>
                </c:pt>
                <c:pt idx="12">
                  <c:v>2.73709323888E6</c:v>
                </c:pt>
                <c:pt idx="13">
                  <c:v>2.56223029216E6</c:v>
                </c:pt>
                <c:pt idx="14">
                  <c:v>2.4229166808E6</c:v>
                </c:pt>
                <c:pt idx="15">
                  <c:v>2.24816208232E6</c:v>
                </c:pt>
                <c:pt idx="16">
                  <c:v>2.07642178744E6</c:v>
                </c:pt>
                <c:pt idx="17">
                  <c:v>1.93445503328E6</c:v>
                </c:pt>
                <c:pt idx="18">
                  <c:v>1.80964063896E6</c:v>
                </c:pt>
                <c:pt idx="19">
                  <c:v>1.68242313624E6</c:v>
                </c:pt>
                <c:pt idx="20">
                  <c:v>1.56560706456E6</c:v>
                </c:pt>
                <c:pt idx="21">
                  <c:v>1.4727165068E6</c:v>
                </c:pt>
                <c:pt idx="22">
                  <c:v>1.38433490272E6</c:v>
                </c:pt>
                <c:pt idx="23">
                  <c:v>1.30426833152E6</c:v>
                </c:pt>
                <c:pt idx="24">
                  <c:v>1.2080273128E6</c:v>
                </c:pt>
                <c:pt idx="25">
                  <c:v>1.11806493568E6</c:v>
                </c:pt>
                <c:pt idx="26">
                  <c:v>1.04979721E6</c:v>
                </c:pt>
                <c:pt idx="27">
                  <c:v>1.02187948016E6</c:v>
                </c:pt>
                <c:pt idx="28">
                  <c:v>996187.05648</c:v>
                </c:pt>
                <c:pt idx="29">
                  <c:v>969111.1091199999</c:v>
                </c:pt>
                <c:pt idx="30">
                  <c:v>964196.54408</c:v>
                </c:pt>
                <c:pt idx="31">
                  <c:v>951633.70456</c:v>
                </c:pt>
                <c:pt idx="32">
                  <c:v>933072.8176</c:v>
                </c:pt>
                <c:pt idx="33">
                  <c:v>923235.35304</c:v>
                </c:pt>
                <c:pt idx="34">
                  <c:v>902985.3448</c:v>
                </c:pt>
                <c:pt idx="35">
                  <c:v>898395.82448</c:v>
                </c:pt>
                <c:pt idx="36">
                  <c:v>904571.6741599999</c:v>
                </c:pt>
                <c:pt idx="37">
                  <c:v>922382.45792</c:v>
                </c:pt>
                <c:pt idx="38">
                  <c:v>951800.39416</c:v>
                </c:pt>
                <c:pt idx="39">
                  <c:v>991600.31432</c:v>
                </c:pt>
                <c:pt idx="40">
                  <c:v>1.03363665328E6</c:v>
                </c:pt>
                <c:pt idx="41">
                  <c:v>1.07738156064E6</c:v>
                </c:pt>
                <c:pt idx="42">
                  <c:v>1.09459504E6</c:v>
                </c:pt>
                <c:pt idx="43">
                  <c:v>1.12375460736E6</c:v>
                </c:pt>
                <c:pt idx="44">
                  <c:v>1.15840104072E6</c:v>
                </c:pt>
                <c:pt idx="45">
                  <c:v>1.21252515384E6</c:v>
                </c:pt>
                <c:pt idx="46">
                  <c:v>1.2541725504E6</c:v>
                </c:pt>
                <c:pt idx="47">
                  <c:v>1.28090400592E6</c:v>
                </c:pt>
                <c:pt idx="48">
                  <c:v>1.29707567528E6</c:v>
                </c:pt>
                <c:pt idx="49">
                  <c:v>1.32381546528E6</c:v>
                </c:pt>
                <c:pt idx="50">
                  <c:v>1.34032051384E6</c:v>
                </c:pt>
                <c:pt idx="51">
                  <c:v>1.34213187416E6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'biomass Atlantis newsimGB'!$Q$3</c:f>
              <c:strCache>
                <c:ptCount val="1"/>
                <c:pt idx="0">
                  <c:v>haddock</c:v>
                </c:pt>
              </c:strCache>
            </c:strRef>
          </c:tx>
          <c:marker>
            <c:symbol val="none"/>
          </c:marker>
          <c:val>
            <c:numRef>
              <c:f>'biomass Atlantis newsimGB'!$Q$4:$Q$55</c:f>
              <c:numCache>
                <c:formatCode>General</c:formatCode>
                <c:ptCount val="52"/>
                <c:pt idx="0" formatCode="0.00E+00">
                  <c:v>1.55912E7</c:v>
                </c:pt>
                <c:pt idx="1">
                  <c:v>8.4455815368E6</c:v>
                </c:pt>
                <c:pt idx="2">
                  <c:v>6.8836395296E6</c:v>
                </c:pt>
                <c:pt idx="3">
                  <c:v>5.9188560736E6</c:v>
                </c:pt>
                <c:pt idx="4">
                  <c:v>5.2222880312E6</c:v>
                </c:pt>
                <c:pt idx="5">
                  <c:v>4.6225725232E6</c:v>
                </c:pt>
                <c:pt idx="6">
                  <c:v>4.17727226E6</c:v>
                </c:pt>
                <c:pt idx="7">
                  <c:v>3.7827993088E6</c:v>
                </c:pt>
                <c:pt idx="8">
                  <c:v>3.4625872432E6</c:v>
                </c:pt>
                <c:pt idx="9">
                  <c:v>3.1997507936E6</c:v>
                </c:pt>
                <c:pt idx="10">
                  <c:v>2.969577908E6</c:v>
                </c:pt>
                <c:pt idx="11">
                  <c:v>2.769620768E6</c:v>
                </c:pt>
                <c:pt idx="12">
                  <c:v>2.5628658648E6</c:v>
                </c:pt>
                <c:pt idx="13">
                  <c:v>2.3664011536E6</c:v>
                </c:pt>
                <c:pt idx="14">
                  <c:v>2.1942119408E6</c:v>
                </c:pt>
                <c:pt idx="15">
                  <c:v>2.0069304464E6</c:v>
                </c:pt>
                <c:pt idx="16">
                  <c:v>1.8418196384E6</c:v>
                </c:pt>
                <c:pt idx="17">
                  <c:v>1.6858452736E6</c:v>
                </c:pt>
                <c:pt idx="18">
                  <c:v>1.5193156664E6</c:v>
                </c:pt>
                <c:pt idx="19">
                  <c:v>1.346066252E6</c:v>
                </c:pt>
                <c:pt idx="20">
                  <c:v>1.1666583136E6</c:v>
                </c:pt>
                <c:pt idx="21">
                  <c:v>1.0202257632E6</c:v>
                </c:pt>
                <c:pt idx="22">
                  <c:v>855224.0936</c:v>
                </c:pt>
                <c:pt idx="23">
                  <c:v>720173.1192000001</c:v>
                </c:pt>
                <c:pt idx="24">
                  <c:v>582471.6408</c:v>
                </c:pt>
                <c:pt idx="25">
                  <c:v>472304.2216</c:v>
                </c:pt>
                <c:pt idx="26">
                  <c:v>430130.0256</c:v>
                </c:pt>
                <c:pt idx="27">
                  <c:v>411155.5352</c:v>
                </c:pt>
                <c:pt idx="28">
                  <c:v>389327.8552</c:v>
                </c:pt>
                <c:pt idx="29">
                  <c:v>370041.5408</c:v>
                </c:pt>
                <c:pt idx="30">
                  <c:v>342710.1672</c:v>
                </c:pt>
                <c:pt idx="31">
                  <c:v>323673.312</c:v>
                </c:pt>
                <c:pt idx="32">
                  <c:v>301050.4808</c:v>
                </c:pt>
                <c:pt idx="33">
                  <c:v>287829.1432</c:v>
                </c:pt>
                <c:pt idx="34">
                  <c:v>267124.0296</c:v>
                </c:pt>
                <c:pt idx="35">
                  <c:v>258782.7376</c:v>
                </c:pt>
                <c:pt idx="36">
                  <c:v>259546.7064</c:v>
                </c:pt>
                <c:pt idx="37">
                  <c:v>276478.7496</c:v>
                </c:pt>
                <c:pt idx="38">
                  <c:v>302874.6512</c:v>
                </c:pt>
                <c:pt idx="39">
                  <c:v>346545.6024</c:v>
                </c:pt>
                <c:pt idx="40">
                  <c:v>394847.14</c:v>
                </c:pt>
                <c:pt idx="41">
                  <c:v>433622.4544</c:v>
                </c:pt>
                <c:pt idx="42">
                  <c:v>482953.0112</c:v>
                </c:pt>
                <c:pt idx="43">
                  <c:v>538099.0856</c:v>
                </c:pt>
                <c:pt idx="44">
                  <c:v>594398.9088</c:v>
                </c:pt>
                <c:pt idx="45">
                  <c:v>654471.8024</c:v>
                </c:pt>
                <c:pt idx="46">
                  <c:v>713936.6392</c:v>
                </c:pt>
                <c:pt idx="47">
                  <c:v>745711.5048000001</c:v>
                </c:pt>
                <c:pt idx="48">
                  <c:v>788509.3488</c:v>
                </c:pt>
                <c:pt idx="49">
                  <c:v>842049.5296</c:v>
                </c:pt>
                <c:pt idx="50">
                  <c:v>878392.6168</c:v>
                </c:pt>
                <c:pt idx="51">
                  <c:v>857859.0064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'biomass Atlantis newsimGB'!$R$3</c:f>
              <c:strCache>
                <c:ptCount val="1"/>
                <c:pt idx="0">
                  <c:v>yellowtailfl</c:v>
                </c:pt>
              </c:strCache>
            </c:strRef>
          </c:tx>
          <c:marker>
            <c:symbol val="none"/>
          </c:marker>
          <c:val>
            <c:numRef>
              <c:f>'biomass Atlantis newsimGB'!$R$4:$R$55</c:f>
              <c:numCache>
                <c:formatCode>General</c:formatCode>
                <c:ptCount val="52"/>
                <c:pt idx="0" formatCode="0.00E+00">
                  <c:v>4.91466E6</c:v>
                </c:pt>
                <c:pt idx="1">
                  <c:v>3.5694192648E6</c:v>
                </c:pt>
                <c:pt idx="2">
                  <c:v>3.6956768802E6</c:v>
                </c:pt>
                <c:pt idx="3">
                  <c:v>3.51362312982E6</c:v>
                </c:pt>
                <c:pt idx="4">
                  <c:v>3.19227317106E6</c:v>
                </c:pt>
                <c:pt idx="5">
                  <c:v>3.04260211542E6</c:v>
                </c:pt>
                <c:pt idx="6">
                  <c:v>2.90013103668E6</c:v>
                </c:pt>
                <c:pt idx="7">
                  <c:v>2.75953735806E6</c:v>
                </c:pt>
                <c:pt idx="8">
                  <c:v>2.58750951408E6</c:v>
                </c:pt>
                <c:pt idx="9">
                  <c:v>2.51340135594E6</c:v>
                </c:pt>
                <c:pt idx="10">
                  <c:v>2.3596019859E6</c:v>
                </c:pt>
                <c:pt idx="11">
                  <c:v>2.22684227532E6</c:v>
                </c:pt>
                <c:pt idx="12">
                  <c:v>2.04397269138E6</c:v>
                </c:pt>
                <c:pt idx="13">
                  <c:v>1.94379226194E6</c:v>
                </c:pt>
                <c:pt idx="14">
                  <c:v>1.79233227006E6</c:v>
                </c:pt>
                <c:pt idx="15">
                  <c:v>1.65913024008E6</c:v>
                </c:pt>
                <c:pt idx="16">
                  <c:v>1.49983628016E6</c:v>
                </c:pt>
                <c:pt idx="17">
                  <c:v>1.3365909336E6</c:v>
                </c:pt>
                <c:pt idx="18">
                  <c:v>1.22017738218E6</c:v>
                </c:pt>
                <c:pt idx="19">
                  <c:v>1.09927674618E6</c:v>
                </c:pt>
                <c:pt idx="20">
                  <c:v>974208.4785000001</c:v>
                </c:pt>
                <c:pt idx="21">
                  <c:v>864464.1207</c:v>
                </c:pt>
                <c:pt idx="22">
                  <c:v>751584.20982</c:v>
                </c:pt>
                <c:pt idx="23">
                  <c:v>664304.76288</c:v>
                </c:pt>
                <c:pt idx="24">
                  <c:v>575998.152</c:v>
                </c:pt>
                <c:pt idx="25">
                  <c:v>517228.64772</c:v>
                </c:pt>
                <c:pt idx="26">
                  <c:v>521243.92494</c:v>
                </c:pt>
                <c:pt idx="27">
                  <c:v>540774.7837800001</c:v>
                </c:pt>
                <c:pt idx="28">
                  <c:v>529957.61712</c:v>
                </c:pt>
                <c:pt idx="29">
                  <c:v>507232.22928</c:v>
                </c:pt>
                <c:pt idx="30">
                  <c:v>506323.01718</c:v>
                </c:pt>
                <c:pt idx="31">
                  <c:v>511517.8128</c:v>
                </c:pt>
                <c:pt idx="32">
                  <c:v>487396.66152</c:v>
                </c:pt>
                <c:pt idx="33">
                  <c:v>468755.35614</c:v>
                </c:pt>
                <c:pt idx="34">
                  <c:v>469841.496</c:v>
                </c:pt>
                <c:pt idx="35">
                  <c:v>470524.63374</c:v>
                </c:pt>
                <c:pt idx="36">
                  <c:v>492237.60162</c:v>
                </c:pt>
                <c:pt idx="37">
                  <c:v>526443.63522</c:v>
                </c:pt>
                <c:pt idx="38">
                  <c:v>565947.6723</c:v>
                </c:pt>
                <c:pt idx="39">
                  <c:v>611201.86158</c:v>
                </c:pt>
                <c:pt idx="40">
                  <c:v>636001.2359399999</c:v>
                </c:pt>
                <c:pt idx="41">
                  <c:v>647349.18588</c:v>
                </c:pt>
                <c:pt idx="42">
                  <c:v>663803.46756</c:v>
                </c:pt>
                <c:pt idx="43">
                  <c:v>689059.9053</c:v>
                </c:pt>
                <c:pt idx="44">
                  <c:v>716930.94216</c:v>
                </c:pt>
                <c:pt idx="45">
                  <c:v>742295.50242</c:v>
                </c:pt>
                <c:pt idx="46">
                  <c:v>768397.2616799999</c:v>
                </c:pt>
                <c:pt idx="47">
                  <c:v>790945.72176</c:v>
                </c:pt>
                <c:pt idx="48">
                  <c:v>803183.2251599999</c:v>
                </c:pt>
                <c:pt idx="49">
                  <c:v>833482.1040599999</c:v>
                </c:pt>
                <c:pt idx="50">
                  <c:v>845360.83728</c:v>
                </c:pt>
                <c:pt idx="51">
                  <c:v>833722.9224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'biomass Atlantis newsimGB'!$S$3</c:f>
              <c:strCache>
                <c:ptCount val="1"/>
                <c:pt idx="0">
                  <c:v>winterfl</c:v>
                </c:pt>
              </c:strCache>
            </c:strRef>
          </c:tx>
          <c:marker>
            <c:symbol val="none"/>
          </c:marker>
          <c:val>
            <c:numRef>
              <c:f>'biomass Atlantis newsimGB'!$S$4:$S$55</c:f>
              <c:numCache>
                <c:formatCode>General</c:formatCode>
                <c:ptCount val="52"/>
                <c:pt idx="0" formatCode="0.00E+00">
                  <c:v>1.36349E6</c:v>
                </c:pt>
                <c:pt idx="1">
                  <c:v>1.42223051269E6</c:v>
                </c:pt>
                <c:pt idx="2">
                  <c:v>1.27932312579E6</c:v>
                </c:pt>
                <c:pt idx="3">
                  <c:v>1.17687048719E6</c:v>
                </c:pt>
                <c:pt idx="4">
                  <c:v>1.08247334751E6</c:v>
                </c:pt>
                <c:pt idx="5">
                  <c:v>1.03075889879E6</c:v>
                </c:pt>
                <c:pt idx="6">
                  <c:v>944591.78475</c:v>
                </c:pt>
                <c:pt idx="7">
                  <c:v>897859.52849</c:v>
                </c:pt>
                <c:pt idx="8">
                  <c:v>826456.28417</c:v>
                </c:pt>
                <c:pt idx="9">
                  <c:v>765167.40867</c:v>
                </c:pt>
                <c:pt idx="10">
                  <c:v>703410.8561</c:v>
                </c:pt>
                <c:pt idx="11">
                  <c:v>648700.81985</c:v>
                </c:pt>
                <c:pt idx="12">
                  <c:v>580096.8205</c:v>
                </c:pt>
                <c:pt idx="13">
                  <c:v>517803.05287</c:v>
                </c:pt>
                <c:pt idx="14">
                  <c:v>458068.55597</c:v>
                </c:pt>
                <c:pt idx="15">
                  <c:v>414293.70952</c:v>
                </c:pt>
                <c:pt idx="16">
                  <c:v>377658.09671</c:v>
                </c:pt>
                <c:pt idx="17">
                  <c:v>322050.88404</c:v>
                </c:pt>
                <c:pt idx="18">
                  <c:v>303428.33762</c:v>
                </c:pt>
                <c:pt idx="19">
                  <c:v>295897.78235</c:v>
                </c:pt>
                <c:pt idx="20">
                  <c:v>277219.33284</c:v>
                </c:pt>
                <c:pt idx="21">
                  <c:v>243318.88097</c:v>
                </c:pt>
                <c:pt idx="22">
                  <c:v>231144.27876</c:v>
                </c:pt>
                <c:pt idx="23">
                  <c:v>226624.30941</c:v>
                </c:pt>
                <c:pt idx="24">
                  <c:v>210239.25008</c:v>
                </c:pt>
                <c:pt idx="25">
                  <c:v>195689.44829</c:v>
                </c:pt>
                <c:pt idx="26">
                  <c:v>217203.957</c:v>
                </c:pt>
                <c:pt idx="27">
                  <c:v>226427.96685</c:v>
                </c:pt>
                <c:pt idx="28">
                  <c:v>195858.52105</c:v>
                </c:pt>
                <c:pt idx="29">
                  <c:v>203399.98424</c:v>
                </c:pt>
                <c:pt idx="30">
                  <c:v>199169.07477</c:v>
                </c:pt>
                <c:pt idx="31">
                  <c:v>201838.78819</c:v>
                </c:pt>
                <c:pt idx="32">
                  <c:v>196143.49046</c:v>
                </c:pt>
                <c:pt idx="33">
                  <c:v>219414.17429</c:v>
                </c:pt>
                <c:pt idx="34">
                  <c:v>197286.09508</c:v>
                </c:pt>
                <c:pt idx="35">
                  <c:v>204249.43851</c:v>
                </c:pt>
                <c:pt idx="36">
                  <c:v>198415.0648</c:v>
                </c:pt>
                <c:pt idx="37">
                  <c:v>208915.30129</c:v>
                </c:pt>
                <c:pt idx="38">
                  <c:v>221993.89737</c:v>
                </c:pt>
                <c:pt idx="39">
                  <c:v>232466.86406</c:v>
                </c:pt>
                <c:pt idx="40">
                  <c:v>228546.83031</c:v>
                </c:pt>
                <c:pt idx="41">
                  <c:v>252680.60331</c:v>
                </c:pt>
                <c:pt idx="42">
                  <c:v>240331.47438</c:v>
                </c:pt>
                <c:pt idx="43">
                  <c:v>243872.45791</c:v>
                </c:pt>
                <c:pt idx="44">
                  <c:v>248249.26081</c:v>
                </c:pt>
                <c:pt idx="45">
                  <c:v>244715.09473</c:v>
                </c:pt>
                <c:pt idx="46">
                  <c:v>252139.29778</c:v>
                </c:pt>
                <c:pt idx="47">
                  <c:v>251893.86958</c:v>
                </c:pt>
                <c:pt idx="48">
                  <c:v>252676.51284</c:v>
                </c:pt>
                <c:pt idx="49">
                  <c:v>256330.66604</c:v>
                </c:pt>
                <c:pt idx="50">
                  <c:v>262387.28862</c:v>
                </c:pt>
                <c:pt idx="51">
                  <c:v>248136.09114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'biomass Atlantis newsimGB'!$T$3</c:f>
              <c:strCache>
                <c:ptCount val="1"/>
                <c:pt idx="0">
                  <c:v>Amackerel</c:v>
                </c:pt>
              </c:strCache>
            </c:strRef>
          </c:tx>
          <c:marker>
            <c:symbol val="none"/>
          </c:marker>
          <c:val>
            <c:numRef>
              <c:f>'biomass Atlantis newsimGB'!$T$4:$T$55</c:f>
              <c:numCache>
                <c:formatCode>General</c:formatCode>
                <c:ptCount val="52"/>
                <c:pt idx="0" formatCode="0.00E+00">
                  <c:v>2.13694E6</c:v>
                </c:pt>
                <c:pt idx="1">
                  <c:v>2.66025309966E6</c:v>
                </c:pt>
                <c:pt idx="2">
                  <c:v>2.08321091758E6</c:v>
                </c:pt>
                <c:pt idx="3">
                  <c:v>2.58313093506E6</c:v>
                </c:pt>
                <c:pt idx="4">
                  <c:v>2.82512443148E6</c:v>
                </c:pt>
                <c:pt idx="5">
                  <c:v>2.06795530292E6</c:v>
                </c:pt>
                <c:pt idx="6">
                  <c:v>1.52165727662E6</c:v>
                </c:pt>
                <c:pt idx="7">
                  <c:v>1.6245552115E6</c:v>
                </c:pt>
                <c:pt idx="8">
                  <c:v>1.54410583132E6</c:v>
                </c:pt>
                <c:pt idx="9">
                  <c:v>1.41431878042E6</c:v>
                </c:pt>
                <c:pt idx="10">
                  <c:v>1.3056382859E6</c:v>
                </c:pt>
                <c:pt idx="11">
                  <c:v>813131.31328</c:v>
                </c:pt>
                <c:pt idx="12">
                  <c:v>516919.37518</c:v>
                </c:pt>
                <c:pt idx="13">
                  <c:v>436598.2114</c:v>
                </c:pt>
                <c:pt idx="14">
                  <c:v>669578.0948999999</c:v>
                </c:pt>
                <c:pt idx="15">
                  <c:v>1.05639415206E6</c:v>
                </c:pt>
                <c:pt idx="16">
                  <c:v>1.00219066896E6</c:v>
                </c:pt>
                <c:pt idx="17">
                  <c:v>905406.51942</c:v>
                </c:pt>
                <c:pt idx="18">
                  <c:v>1.09948341022E6</c:v>
                </c:pt>
                <c:pt idx="19">
                  <c:v>1.97053861914E6</c:v>
                </c:pt>
                <c:pt idx="20">
                  <c:v>2.8533384503E6</c:v>
                </c:pt>
                <c:pt idx="21">
                  <c:v>2.44346908442E6</c:v>
                </c:pt>
                <c:pt idx="22">
                  <c:v>3.45033965198E6</c:v>
                </c:pt>
                <c:pt idx="23">
                  <c:v>2.77744716314E6</c:v>
                </c:pt>
                <c:pt idx="24">
                  <c:v>2.40025588374E6</c:v>
                </c:pt>
                <c:pt idx="25">
                  <c:v>2.07230183888E6</c:v>
                </c:pt>
                <c:pt idx="26">
                  <c:v>2.78581755712E6</c:v>
                </c:pt>
                <c:pt idx="27">
                  <c:v>2.44411871418E6</c:v>
                </c:pt>
                <c:pt idx="28">
                  <c:v>2.01573490014E6</c:v>
                </c:pt>
                <c:pt idx="29">
                  <c:v>2.78788825198E6</c:v>
                </c:pt>
                <c:pt idx="30">
                  <c:v>2.10093683488E6</c:v>
                </c:pt>
                <c:pt idx="31">
                  <c:v>1.8298189832E6</c:v>
                </c:pt>
                <c:pt idx="32">
                  <c:v>2.53546648836E6</c:v>
                </c:pt>
                <c:pt idx="33">
                  <c:v>3.13015124708E6</c:v>
                </c:pt>
                <c:pt idx="34">
                  <c:v>2.54263378512E6</c:v>
                </c:pt>
                <c:pt idx="35">
                  <c:v>3.42802999838E6</c:v>
                </c:pt>
                <c:pt idx="36">
                  <c:v>3.3288076003E6</c:v>
                </c:pt>
                <c:pt idx="37">
                  <c:v>4.0099144865E6</c:v>
                </c:pt>
                <c:pt idx="38">
                  <c:v>3.14951192348E6</c:v>
                </c:pt>
                <c:pt idx="39">
                  <c:v>3.9556575799E6</c:v>
                </c:pt>
                <c:pt idx="40">
                  <c:v>2.98202711404E6</c:v>
                </c:pt>
                <c:pt idx="41">
                  <c:v>3.0217934305E6</c:v>
                </c:pt>
                <c:pt idx="42">
                  <c:v>3.51101592634E6</c:v>
                </c:pt>
                <c:pt idx="43">
                  <c:v>2.63764000058E6</c:v>
                </c:pt>
                <c:pt idx="44">
                  <c:v>3.38094252548E6</c:v>
                </c:pt>
                <c:pt idx="45">
                  <c:v>3.96091872618E6</c:v>
                </c:pt>
                <c:pt idx="46">
                  <c:v>4.5539366717E6</c:v>
                </c:pt>
                <c:pt idx="47">
                  <c:v>5.23708860948E6</c:v>
                </c:pt>
                <c:pt idx="48">
                  <c:v>5.79364394778E6</c:v>
                </c:pt>
                <c:pt idx="49">
                  <c:v>6.42093413702E6</c:v>
                </c:pt>
                <c:pt idx="50">
                  <c:v>4.92142196962E6</c:v>
                </c:pt>
                <c:pt idx="51">
                  <c:v>4.92502271352E6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'biomass Atlantis newsimGB'!$U$3</c:f>
              <c:strCache>
                <c:ptCount val="1"/>
                <c:pt idx="0">
                  <c:v>silverhake</c:v>
                </c:pt>
              </c:strCache>
            </c:strRef>
          </c:tx>
          <c:marker>
            <c:symbol val="none"/>
          </c:marker>
          <c:val>
            <c:numRef>
              <c:f>'biomass Atlantis newsimGB'!$U$4:$U$55</c:f>
              <c:numCache>
                <c:formatCode>General</c:formatCode>
                <c:ptCount val="52"/>
                <c:pt idx="0" formatCode="0.00E+00">
                  <c:v>5.0E6</c:v>
                </c:pt>
                <c:pt idx="1">
                  <c:v>5.26446E6</c:v>
                </c:pt>
                <c:pt idx="2">
                  <c:v>5.02754E6</c:v>
                </c:pt>
                <c:pt idx="3">
                  <c:v>4.48082E6</c:v>
                </c:pt>
                <c:pt idx="4">
                  <c:v>3.926235E6</c:v>
                </c:pt>
                <c:pt idx="5">
                  <c:v>3.44818E6</c:v>
                </c:pt>
                <c:pt idx="6">
                  <c:v>3.04191E6</c:v>
                </c:pt>
                <c:pt idx="7">
                  <c:v>2.66791E6</c:v>
                </c:pt>
                <c:pt idx="8">
                  <c:v>2.452015E6</c:v>
                </c:pt>
                <c:pt idx="9">
                  <c:v>2.097655E6</c:v>
                </c:pt>
                <c:pt idx="10">
                  <c:v>1.796295E6</c:v>
                </c:pt>
                <c:pt idx="11">
                  <c:v>1.544535E6</c:v>
                </c:pt>
                <c:pt idx="12">
                  <c:v>1.2989E6</c:v>
                </c:pt>
                <c:pt idx="13">
                  <c:v>1.03089E6</c:v>
                </c:pt>
                <c:pt idx="14">
                  <c:v>1.46539E6</c:v>
                </c:pt>
                <c:pt idx="15">
                  <c:v>1.955675E6</c:v>
                </c:pt>
                <c:pt idx="16">
                  <c:v>2.325605E6</c:v>
                </c:pt>
                <c:pt idx="17">
                  <c:v>2.452155E6</c:v>
                </c:pt>
                <c:pt idx="18">
                  <c:v>2.443455E6</c:v>
                </c:pt>
                <c:pt idx="19">
                  <c:v>2.3796E6</c:v>
                </c:pt>
                <c:pt idx="20">
                  <c:v>2.23718E6</c:v>
                </c:pt>
                <c:pt idx="21">
                  <c:v>2.093985E6</c:v>
                </c:pt>
                <c:pt idx="22">
                  <c:v>1.851325E6</c:v>
                </c:pt>
                <c:pt idx="23">
                  <c:v>1.64492E6</c:v>
                </c:pt>
                <c:pt idx="24">
                  <c:v>1.43384E6</c:v>
                </c:pt>
                <c:pt idx="25">
                  <c:v>1.264085E6</c:v>
                </c:pt>
                <c:pt idx="26">
                  <c:v>1.16788E6</c:v>
                </c:pt>
                <c:pt idx="27">
                  <c:v>1.107045E6</c:v>
                </c:pt>
                <c:pt idx="28">
                  <c:v>1.06805E6</c:v>
                </c:pt>
                <c:pt idx="29">
                  <c:v>1.035855E6</c:v>
                </c:pt>
                <c:pt idx="30">
                  <c:v>1.02137E6</c:v>
                </c:pt>
                <c:pt idx="31">
                  <c:v>1.00403E6</c:v>
                </c:pt>
                <c:pt idx="32">
                  <c:v>980235.0</c:v>
                </c:pt>
                <c:pt idx="33">
                  <c:v>981910.0</c:v>
                </c:pt>
                <c:pt idx="34">
                  <c:v>967180.0</c:v>
                </c:pt>
                <c:pt idx="35">
                  <c:v>986035.0</c:v>
                </c:pt>
                <c:pt idx="36">
                  <c:v>989970.0</c:v>
                </c:pt>
                <c:pt idx="37">
                  <c:v>1.051535E6</c:v>
                </c:pt>
                <c:pt idx="38">
                  <c:v>1.112725E6</c:v>
                </c:pt>
                <c:pt idx="39">
                  <c:v>1.179575E6</c:v>
                </c:pt>
                <c:pt idx="40">
                  <c:v>1.24848E6</c:v>
                </c:pt>
                <c:pt idx="41">
                  <c:v>1.31433E6</c:v>
                </c:pt>
                <c:pt idx="42">
                  <c:v>1.415845E6</c:v>
                </c:pt>
                <c:pt idx="43">
                  <c:v>1.477605E6</c:v>
                </c:pt>
                <c:pt idx="44">
                  <c:v>1.51951E6</c:v>
                </c:pt>
                <c:pt idx="45">
                  <c:v>1.621495E6</c:v>
                </c:pt>
                <c:pt idx="46">
                  <c:v>1.70253E6</c:v>
                </c:pt>
                <c:pt idx="47">
                  <c:v>1.769795E6</c:v>
                </c:pt>
                <c:pt idx="48">
                  <c:v>1.7949E6</c:v>
                </c:pt>
                <c:pt idx="49">
                  <c:v>1.83891E6</c:v>
                </c:pt>
                <c:pt idx="50">
                  <c:v>1.90407E6</c:v>
                </c:pt>
                <c:pt idx="51">
                  <c:v>1.907075E6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'biomass Atlantis newsimGB'!$V$3</c:f>
              <c:strCache>
                <c:ptCount val="1"/>
                <c:pt idx="0">
                  <c:v>goosefish</c:v>
                </c:pt>
              </c:strCache>
            </c:strRef>
          </c:tx>
          <c:marker>
            <c:symbol val="none"/>
          </c:marker>
          <c:val>
            <c:numRef>
              <c:f>'biomass Atlantis newsimGB'!$V$4:$V$55</c:f>
              <c:numCache>
                <c:formatCode>General</c:formatCode>
                <c:ptCount val="52"/>
                <c:pt idx="0">
                  <c:v>500000.0</c:v>
                </c:pt>
                <c:pt idx="1">
                  <c:v>533187.0</c:v>
                </c:pt>
                <c:pt idx="2">
                  <c:v>627923.0</c:v>
                </c:pt>
                <c:pt idx="3">
                  <c:v>758534.5</c:v>
                </c:pt>
                <c:pt idx="4">
                  <c:v>843375.5</c:v>
                </c:pt>
                <c:pt idx="5">
                  <c:v>854665.0</c:v>
                </c:pt>
                <c:pt idx="6">
                  <c:v>862953.0</c:v>
                </c:pt>
                <c:pt idx="7">
                  <c:v>874340.5</c:v>
                </c:pt>
                <c:pt idx="8">
                  <c:v>877886.5</c:v>
                </c:pt>
                <c:pt idx="9">
                  <c:v>883578.5</c:v>
                </c:pt>
                <c:pt idx="10">
                  <c:v>877285.5</c:v>
                </c:pt>
                <c:pt idx="11">
                  <c:v>885015.5</c:v>
                </c:pt>
                <c:pt idx="12">
                  <c:v>871092.0</c:v>
                </c:pt>
                <c:pt idx="13">
                  <c:v>870090.5</c:v>
                </c:pt>
                <c:pt idx="14">
                  <c:v>875358.0</c:v>
                </c:pt>
                <c:pt idx="15">
                  <c:v>889216.0</c:v>
                </c:pt>
                <c:pt idx="16">
                  <c:v>884812.0</c:v>
                </c:pt>
                <c:pt idx="17">
                  <c:v>885856.0</c:v>
                </c:pt>
                <c:pt idx="18">
                  <c:v>872234.5</c:v>
                </c:pt>
                <c:pt idx="19">
                  <c:v>880019.0</c:v>
                </c:pt>
                <c:pt idx="20">
                  <c:v>870902.0</c:v>
                </c:pt>
                <c:pt idx="21">
                  <c:v>865407.0</c:v>
                </c:pt>
                <c:pt idx="22">
                  <c:v>864961.0</c:v>
                </c:pt>
                <c:pt idx="23">
                  <c:v>866824.0</c:v>
                </c:pt>
                <c:pt idx="24">
                  <c:v>851914.5</c:v>
                </c:pt>
                <c:pt idx="25">
                  <c:v>844535.5</c:v>
                </c:pt>
                <c:pt idx="26">
                  <c:v>825003.5</c:v>
                </c:pt>
                <c:pt idx="27">
                  <c:v>824347.0</c:v>
                </c:pt>
                <c:pt idx="28">
                  <c:v>820541.5</c:v>
                </c:pt>
                <c:pt idx="29">
                  <c:v>819458.5</c:v>
                </c:pt>
                <c:pt idx="30">
                  <c:v>809473.5</c:v>
                </c:pt>
                <c:pt idx="31">
                  <c:v>820131.0</c:v>
                </c:pt>
                <c:pt idx="32">
                  <c:v>816845.5</c:v>
                </c:pt>
                <c:pt idx="33">
                  <c:v>814717.5</c:v>
                </c:pt>
                <c:pt idx="34">
                  <c:v>809854.5</c:v>
                </c:pt>
                <c:pt idx="35">
                  <c:v>812368.5</c:v>
                </c:pt>
                <c:pt idx="36">
                  <c:v>804822.0</c:v>
                </c:pt>
                <c:pt idx="37">
                  <c:v>812431.5</c:v>
                </c:pt>
                <c:pt idx="38">
                  <c:v>809281.5</c:v>
                </c:pt>
                <c:pt idx="39">
                  <c:v>804658.0</c:v>
                </c:pt>
                <c:pt idx="40">
                  <c:v>805165.0</c:v>
                </c:pt>
                <c:pt idx="41">
                  <c:v>813186.0</c:v>
                </c:pt>
                <c:pt idx="42">
                  <c:v>803146.0</c:v>
                </c:pt>
                <c:pt idx="43">
                  <c:v>804741.0</c:v>
                </c:pt>
                <c:pt idx="44">
                  <c:v>796595.0</c:v>
                </c:pt>
                <c:pt idx="45">
                  <c:v>798917.0</c:v>
                </c:pt>
                <c:pt idx="46">
                  <c:v>795012.5</c:v>
                </c:pt>
                <c:pt idx="47">
                  <c:v>808069.0</c:v>
                </c:pt>
                <c:pt idx="48">
                  <c:v>796351.0</c:v>
                </c:pt>
                <c:pt idx="49">
                  <c:v>804116.0</c:v>
                </c:pt>
                <c:pt idx="50">
                  <c:v>790638.0</c:v>
                </c:pt>
                <c:pt idx="51">
                  <c:v>799271.0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525320"/>
        <c:axId val="2069528264"/>
      </c:lineChart>
      <c:catAx>
        <c:axId val="20695253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69528264"/>
        <c:crosses val="autoZero"/>
        <c:auto val="1"/>
        <c:lblAlgn val="ctr"/>
        <c:lblOffset val="100"/>
        <c:noMultiLvlLbl val="0"/>
      </c:catAx>
      <c:valAx>
        <c:axId val="2069528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9525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'catch Atlantis newsimGB'!$A$4:$A$54</c:f>
              <c:numCache>
                <c:formatCode>General</c:formatCode>
                <c:ptCount val="51"/>
                <c:pt idx="0">
                  <c:v>1964.0</c:v>
                </c:pt>
                <c:pt idx="1">
                  <c:v>1965.0</c:v>
                </c:pt>
                <c:pt idx="2">
                  <c:v>1966.0</c:v>
                </c:pt>
                <c:pt idx="3">
                  <c:v>1967.0</c:v>
                </c:pt>
                <c:pt idx="4">
                  <c:v>1968.0</c:v>
                </c:pt>
                <c:pt idx="5">
                  <c:v>1969.0</c:v>
                </c:pt>
                <c:pt idx="6">
                  <c:v>1970.0</c:v>
                </c:pt>
                <c:pt idx="7">
                  <c:v>1971.0</c:v>
                </c:pt>
                <c:pt idx="8">
                  <c:v>1972.0</c:v>
                </c:pt>
                <c:pt idx="9">
                  <c:v>1973.0</c:v>
                </c:pt>
                <c:pt idx="10">
                  <c:v>1974.0</c:v>
                </c:pt>
                <c:pt idx="11">
                  <c:v>1975.0</c:v>
                </c:pt>
                <c:pt idx="12">
                  <c:v>1976.0</c:v>
                </c:pt>
                <c:pt idx="13">
                  <c:v>1977.0</c:v>
                </c:pt>
                <c:pt idx="14">
                  <c:v>1978.0</c:v>
                </c:pt>
                <c:pt idx="15">
                  <c:v>1979.0</c:v>
                </c:pt>
                <c:pt idx="16">
                  <c:v>1980.0</c:v>
                </c:pt>
                <c:pt idx="17">
                  <c:v>1981.0</c:v>
                </c:pt>
                <c:pt idx="18">
                  <c:v>1982.0</c:v>
                </c:pt>
                <c:pt idx="19">
                  <c:v>1983.0</c:v>
                </c:pt>
                <c:pt idx="20">
                  <c:v>1984.0</c:v>
                </c:pt>
                <c:pt idx="21">
                  <c:v>1985.0</c:v>
                </c:pt>
                <c:pt idx="22">
                  <c:v>1986.0</c:v>
                </c:pt>
                <c:pt idx="23">
                  <c:v>1987.0</c:v>
                </c:pt>
                <c:pt idx="24">
                  <c:v>1988.0</c:v>
                </c:pt>
                <c:pt idx="25">
                  <c:v>1989.0</c:v>
                </c:pt>
                <c:pt idx="26">
                  <c:v>1990.0</c:v>
                </c:pt>
                <c:pt idx="27">
                  <c:v>1991.0</c:v>
                </c:pt>
                <c:pt idx="28">
                  <c:v>1992.0</c:v>
                </c:pt>
                <c:pt idx="29">
                  <c:v>1993.0</c:v>
                </c:pt>
                <c:pt idx="30">
                  <c:v>1994.0</c:v>
                </c:pt>
                <c:pt idx="31">
                  <c:v>1995.0</c:v>
                </c:pt>
                <c:pt idx="32">
                  <c:v>1996.0</c:v>
                </c:pt>
                <c:pt idx="33">
                  <c:v>1997.0</c:v>
                </c:pt>
                <c:pt idx="34">
                  <c:v>1998.0</c:v>
                </c:pt>
                <c:pt idx="35">
                  <c:v>1999.0</c:v>
                </c:pt>
                <c:pt idx="36">
                  <c:v>2000.0</c:v>
                </c:pt>
                <c:pt idx="37">
                  <c:v>2001.0</c:v>
                </c:pt>
                <c:pt idx="38">
                  <c:v>2002.0</c:v>
                </c:pt>
                <c:pt idx="39">
                  <c:v>2003.0</c:v>
                </c:pt>
                <c:pt idx="40">
                  <c:v>2004.0</c:v>
                </c:pt>
                <c:pt idx="41">
                  <c:v>2005.0</c:v>
                </c:pt>
                <c:pt idx="42">
                  <c:v>2006.0</c:v>
                </c:pt>
                <c:pt idx="43">
                  <c:v>2007.0</c:v>
                </c:pt>
                <c:pt idx="44">
                  <c:v>2008.0</c:v>
                </c:pt>
                <c:pt idx="45">
                  <c:v>2009.0</c:v>
                </c:pt>
                <c:pt idx="46">
                  <c:v>2010.0</c:v>
                </c:pt>
                <c:pt idx="47">
                  <c:v>2011.0</c:v>
                </c:pt>
                <c:pt idx="48">
                  <c:v>2012.0</c:v>
                </c:pt>
                <c:pt idx="49">
                  <c:v>2013.0</c:v>
                </c:pt>
                <c:pt idx="50">
                  <c:v>2014.0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'catch Atlantis newsimGB'!$B$4:$B$54</c:f>
              <c:numCache>
                <c:formatCode>General</c:formatCode>
                <c:ptCount val="51"/>
                <c:pt idx="0">
                  <c:v>0.0</c:v>
                </c:pt>
                <c:pt idx="1">
                  <c:v>363.824892</c:v>
                </c:pt>
                <c:pt idx="2">
                  <c:v>382.0608</c:v>
                </c:pt>
                <c:pt idx="3">
                  <c:v>369.609312</c:v>
                </c:pt>
                <c:pt idx="4">
                  <c:v>434.650342</c:v>
                </c:pt>
                <c:pt idx="5">
                  <c:v>404.802091</c:v>
                </c:pt>
                <c:pt idx="6">
                  <c:v>450.566416</c:v>
                </c:pt>
                <c:pt idx="7">
                  <c:v>472.467964</c:v>
                </c:pt>
                <c:pt idx="8">
                  <c:v>520.459738</c:v>
                </c:pt>
                <c:pt idx="9">
                  <c:v>589.589142</c:v>
                </c:pt>
                <c:pt idx="10">
                  <c:v>708.996843</c:v>
                </c:pt>
                <c:pt idx="11">
                  <c:v>786.789388</c:v>
                </c:pt>
                <c:pt idx="12">
                  <c:v>881.68898</c:v>
                </c:pt>
                <c:pt idx="13">
                  <c:v>1052.626906</c:v>
                </c:pt>
                <c:pt idx="14">
                  <c:v>1153.955351</c:v>
                </c:pt>
                <c:pt idx="15">
                  <c:v>1279.376586</c:v>
                </c:pt>
                <c:pt idx="16">
                  <c:v>1446.390128</c:v>
                </c:pt>
                <c:pt idx="17">
                  <c:v>1602.715646</c:v>
                </c:pt>
                <c:pt idx="18">
                  <c:v>1706.199087</c:v>
                </c:pt>
                <c:pt idx="19">
                  <c:v>1799.847877</c:v>
                </c:pt>
                <c:pt idx="20">
                  <c:v>1881.877068</c:v>
                </c:pt>
                <c:pt idx="21">
                  <c:v>1971.083124</c:v>
                </c:pt>
                <c:pt idx="22">
                  <c:v>2335.856982</c:v>
                </c:pt>
                <c:pt idx="23">
                  <c:v>2373.187851</c:v>
                </c:pt>
                <c:pt idx="24">
                  <c:v>2373.67593</c:v>
                </c:pt>
                <c:pt idx="25">
                  <c:v>2501.811177</c:v>
                </c:pt>
                <c:pt idx="26">
                  <c:v>2536.654581</c:v>
                </c:pt>
                <c:pt idx="27">
                  <c:v>2700.265872</c:v>
                </c:pt>
                <c:pt idx="28">
                  <c:v>2944.788202</c:v>
                </c:pt>
                <c:pt idx="29">
                  <c:v>2932.593331</c:v>
                </c:pt>
                <c:pt idx="30">
                  <c:v>2795.158663</c:v>
                </c:pt>
                <c:pt idx="31">
                  <c:v>2789.849312</c:v>
                </c:pt>
                <c:pt idx="32">
                  <c:v>2868.751753</c:v>
                </c:pt>
                <c:pt idx="33">
                  <c:v>2733.927839</c:v>
                </c:pt>
                <c:pt idx="34">
                  <c:v>2861.045969</c:v>
                </c:pt>
                <c:pt idx="35">
                  <c:v>2885.672581</c:v>
                </c:pt>
                <c:pt idx="36">
                  <c:v>2971.119066</c:v>
                </c:pt>
                <c:pt idx="37">
                  <c:v>2939.512169</c:v>
                </c:pt>
                <c:pt idx="38">
                  <c:v>2873.086025</c:v>
                </c:pt>
                <c:pt idx="39">
                  <c:v>2905.894216</c:v>
                </c:pt>
                <c:pt idx="40">
                  <c:v>2770.502569</c:v>
                </c:pt>
                <c:pt idx="41">
                  <c:v>3222.897295</c:v>
                </c:pt>
                <c:pt idx="42">
                  <c:v>3693.113805</c:v>
                </c:pt>
                <c:pt idx="43">
                  <c:v>4137.173402</c:v>
                </c:pt>
                <c:pt idx="44">
                  <c:v>4343.883877</c:v>
                </c:pt>
                <c:pt idx="45">
                  <c:v>4059.635763</c:v>
                </c:pt>
                <c:pt idx="46">
                  <c:v>3797.976417</c:v>
                </c:pt>
                <c:pt idx="47">
                  <c:v>3870.888711</c:v>
                </c:pt>
                <c:pt idx="48">
                  <c:v>3822.219538</c:v>
                </c:pt>
                <c:pt idx="49">
                  <c:v>3678.592599</c:v>
                </c:pt>
                <c:pt idx="50">
                  <c:v>3957.652699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'catch Atlantis newsimGB'!$C$4:$C$54</c:f>
              <c:numCache>
                <c:formatCode>General</c:formatCode>
                <c:ptCount val="51"/>
                <c:pt idx="0">
                  <c:v>0.0</c:v>
                </c:pt>
                <c:pt idx="1">
                  <c:v>2156.874322</c:v>
                </c:pt>
                <c:pt idx="2">
                  <c:v>2272.003253</c:v>
                </c:pt>
                <c:pt idx="3">
                  <c:v>2415.833696</c:v>
                </c:pt>
                <c:pt idx="4">
                  <c:v>2629.43825</c:v>
                </c:pt>
                <c:pt idx="5">
                  <c:v>2948.815341</c:v>
                </c:pt>
                <c:pt idx="6">
                  <c:v>3353.625087</c:v>
                </c:pt>
                <c:pt idx="7">
                  <c:v>3775.140742</c:v>
                </c:pt>
                <c:pt idx="8">
                  <c:v>4190.782413</c:v>
                </c:pt>
                <c:pt idx="9">
                  <c:v>4678.782429</c:v>
                </c:pt>
                <c:pt idx="10">
                  <c:v>5148.328403</c:v>
                </c:pt>
                <c:pt idx="11">
                  <c:v>5571.321296</c:v>
                </c:pt>
                <c:pt idx="12">
                  <c:v>6130.085719</c:v>
                </c:pt>
                <c:pt idx="13">
                  <c:v>6646.950817</c:v>
                </c:pt>
                <c:pt idx="14">
                  <c:v>7046.42605</c:v>
                </c:pt>
                <c:pt idx="15">
                  <c:v>7586.049784</c:v>
                </c:pt>
                <c:pt idx="16">
                  <c:v>8037.678573</c:v>
                </c:pt>
                <c:pt idx="17">
                  <c:v>8124.433277</c:v>
                </c:pt>
                <c:pt idx="18">
                  <c:v>8341.251436</c:v>
                </c:pt>
                <c:pt idx="19">
                  <c:v>8465.632309</c:v>
                </c:pt>
                <c:pt idx="20">
                  <c:v>8379.306243000001</c:v>
                </c:pt>
                <c:pt idx="21">
                  <c:v>8412.472643</c:v>
                </c:pt>
                <c:pt idx="22">
                  <c:v>8625.777806</c:v>
                </c:pt>
                <c:pt idx="23">
                  <c:v>8478.539303</c:v>
                </c:pt>
                <c:pt idx="24">
                  <c:v>8545.408525000001</c:v>
                </c:pt>
                <c:pt idx="25">
                  <c:v>8437.061073000001</c:v>
                </c:pt>
                <c:pt idx="26">
                  <c:v>7837.077191</c:v>
                </c:pt>
                <c:pt idx="27">
                  <c:v>7460.661301</c:v>
                </c:pt>
                <c:pt idx="28">
                  <c:v>7225.890161</c:v>
                </c:pt>
                <c:pt idx="29">
                  <c:v>7001.064275</c:v>
                </c:pt>
                <c:pt idx="30">
                  <c:v>6764.884472</c:v>
                </c:pt>
                <c:pt idx="31">
                  <c:v>6620.307344</c:v>
                </c:pt>
                <c:pt idx="32">
                  <c:v>6497.67423</c:v>
                </c:pt>
                <c:pt idx="33">
                  <c:v>6273.593057</c:v>
                </c:pt>
                <c:pt idx="34">
                  <c:v>6166.368561</c:v>
                </c:pt>
                <c:pt idx="35">
                  <c:v>5901.33526</c:v>
                </c:pt>
                <c:pt idx="36">
                  <c:v>5642.917144</c:v>
                </c:pt>
                <c:pt idx="37">
                  <c:v>5349.545304</c:v>
                </c:pt>
                <c:pt idx="38">
                  <c:v>5077.573406</c:v>
                </c:pt>
                <c:pt idx="39">
                  <c:v>4844.899418</c:v>
                </c:pt>
                <c:pt idx="40">
                  <c:v>4718.18571</c:v>
                </c:pt>
                <c:pt idx="41">
                  <c:v>4612.314957</c:v>
                </c:pt>
                <c:pt idx="42">
                  <c:v>4489.552791</c:v>
                </c:pt>
                <c:pt idx="43">
                  <c:v>4382.615367</c:v>
                </c:pt>
                <c:pt idx="44">
                  <c:v>4249.175539</c:v>
                </c:pt>
                <c:pt idx="45">
                  <c:v>4194.105363</c:v>
                </c:pt>
                <c:pt idx="46">
                  <c:v>4149.393142</c:v>
                </c:pt>
                <c:pt idx="47">
                  <c:v>4109.60484</c:v>
                </c:pt>
                <c:pt idx="48">
                  <c:v>4049.194176</c:v>
                </c:pt>
                <c:pt idx="49">
                  <c:v>3994.530852</c:v>
                </c:pt>
                <c:pt idx="50">
                  <c:v>3982.556577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'catch Atlantis newsimGB'!$D$4:$D$54</c:f>
              <c:numCache>
                <c:formatCode>General</c:formatCode>
                <c:ptCount val="51"/>
                <c:pt idx="0">
                  <c:v>0.0</c:v>
                </c:pt>
                <c:pt idx="1">
                  <c:v>127813.948567</c:v>
                </c:pt>
                <c:pt idx="2">
                  <c:v>125055.953165</c:v>
                </c:pt>
                <c:pt idx="3">
                  <c:v>122711.004475</c:v>
                </c:pt>
                <c:pt idx="4">
                  <c:v>121424.106222</c:v>
                </c:pt>
                <c:pt idx="5">
                  <c:v>119429.820575</c:v>
                </c:pt>
                <c:pt idx="6">
                  <c:v>118440.153284</c:v>
                </c:pt>
                <c:pt idx="7">
                  <c:v>117389.132561</c:v>
                </c:pt>
                <c:pt idx="8">
                  <c:v>117154.871041</c:v>
                </c:pt>
                <c:pt idx="9">
                  <c:v>116547.378274</c:v>
                </c:pt>
                <c:pt idx="10">
                  <c:v>116246.002873</c:v>
                </c:pt>
                <c:pt idx="11">
                  <c:v>116077.440095</c:v>
                </c:pt>
                <c:pt idx="12">
                  <c:v>115916.972789</c:v>
                </c:pt>
                <c:pt idx="13">
                  <c:v>115677.694661</c:v>
                </c:pt>
                <c:pt idx="14">
                  <c:v>2587.668835</c:v>
                </c:pt>
                <c:pt idx="15">
                  <c:v>4321.472548</c:v>
                </c:pt>
                <c:pt idx="16">
                  <c:v>6650.07637</c:v>
                </c:pt>
                <c:pt idx="17">
                  <c:v>8049.681526</c:v>
                </c:pt>
                <c:pt idx="18">
                  <c:v>8463.878452</c:v>
                </c:pt>
                <c:pt idx="19">
                  <c:v>8581.114097</c:v>
                </c:pt>
                <c:pt idx="20">
                  <c:v>10627.914202</c:v>
                </c:pt>
                <c:pt idx="21">
                  <c:v>12251.238254</c:v>
                </c:pt>
                <c:pt idx="22">
                  <c:v>14365.99973</c:v>
                </c:pt>
                <c:pt idx="23">
                  <c:v>16860.187545</c:v>
                </c:pt>
                <c:pt idx="24">
                  <c:v>18093.351013</c:v>
                </c:pt>
                <c:pt idx="25">
                  <c:v>19331.245338</c:v>
                </c:pt>
                <c:pt idx="26">
                  <c:v>18014.584756</c:v>
                </c:pt>
                <c:pt idx="27">
                  <c:v>17904.841833</c:v>
                </c:pt>
                <c:pt idx="28">
                  <c:v>19099.884396</c:v>
                </c:pt>
                <c:pt idx="29">
                  <c:v>17161.454621</c:v>
                </c:pt>
                <c:pt idx="30">
                  <c:v>18268.061857</c:v>
                </c:pt>
                <c:pt idx="31">
                  <c:v>25190.581237</c:v>
                </c:pt>
                <c:pt idx="32">
                  <c:v>30951.102112</c:v>
                </c:pt>
                <c:pt idx="33">
                  <c:v>34516.366401</c:v>
                </c:pt>
                <c:pt idx="34">
                  <c:v>46409.930415</c:v>
                </c:pt>
                <c:pt idx="35">
                  <c:v>47500.126052</c:v>
                </c:pt>
                <c:pt idx="36">
                  <c:v>53171.48826</c:v>
                </c:pt>
                <c:pt idx="37">
                  <c:v>51524.889323</c:v>
                </c:pt>
                <c:pt idx="38">
                  <c:v>65926.93167400001</c:v>
                </c:pt>
                <c:pt idx="39">
                  <c:v>68600.921263</c:v>
                </c:pt>
                <c:pt idx="40">
                  <c:v>71773.226406</c:v>
                </c:pt>
                <c:pt idx="41">
                  <c:v>105211.671667</c:v>
                </c:pt>
                <c:pt idx="42">
                  <c:v>116699.25566</c:v>
                </c:pt>
                <c:pt idx="43">
                  <c:v>116302.531522</c:v>
                </c:pt>
                <c:pt idx="44">
                  <c:v>102456.475759</c:v>
                </c:pt>
                <c:pt idx="45">
                  <c:v>104221.456893</c:v>
                </c:pt>
                <c:pt idx="46">
                  <c:v>90076.083413</c:v>
                </c:pt>
                <c:pt idx="47">
                  <c:v>78181.993006</c:v>
                </c:pt>
                <c:pt idx="48">
                  <c:v>86471.90274200001</c:v>
                </c:pt>
                <c:pt idx="49">
                  <c:v>76484.708933</c:v>
                </c:pt>
                <c:pt idx="50">
                  <c:v>72211.03172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'catch Atlantis newsimGB'!$E$4:$E$54</c:f>
              <c:numCache>
                <c:formatCode>General</c:formatCode>
                <c:ptCount val="51"/>
                <c:pt idx="0">
                  <c:v>0.0</c:v>
                </c:pt>
                <c:pt idx="1">
                  <c:v>18274.082931</c:v>
                </c:pt>
                <c:pt idx="2">
                  <c:v>16233.316608</c:v>
                </c:pt>
                <c:pt idx="3">
                  <c:v>16035.866803</c:v>
                </c:pt>
                <c:pt idx="4">
                  <c:v>17678.854586</c:v>
                </c:pt>
                <c:pt idx="5">
                  <c:v>20754.883984</c:v>
                </c:pt>
                <c:pt idx="6">
                  <c:v>22900.170441</c:v>
                </c:pt>
                <c:pt idx="7">
                  <c:v>23588.330795</c:v>
                </c:pt>
                <c:pt idx="8">
                  <c:v>24132.221647</c:v>
                </c:pt>
                <c:pt idx="9">
                  <c:v>24478.019195</c:v>
                </c:pt>
                <c:pt idx="10">
                  <c:v>24556.040897</c:v>
                </c:pt>
                <c:pt idx="11">
                  <c:v>24517.343147</c:v>
                </c:pt>
                <c:pt idx="12">
                  <c:v>24719.28412</c:v>
                </c:pt>
                <c:pt idx="13">
                  <c:v>24656.069428</c:v>
                </c:pt>
                <c:pt idx="14">
                  <c:v>25068.986777</c:v>
                </c:pt>
                <c:pt idx="15">
                  <c:v>25190.937774</c:v>
                </c:pt>
                <c:pt idx="16">
                  <c:v>24582.747652</c:v>
                </c:pt>
                <c:pt idx="17">
                  <c:v>23437.804094</c:v>
                </c:pt>
                <c:pt idx="18">
                  <c:v>22278.484569</c:v>
                </c:pt>
                <c:pt idx="19">
                  <c:v>20894.028245</c:v>
                </c:pt>
                <c:pt idx="20">
                  <c:v>19797.54775</c:v>
                </c:pt>
                <c:pt idx="21">
                  <c:v>18973.66046</c:v>
                </c:pt>
                <c:pt idx="22">
                  <c:v>18312.368382</c:v>
                </c:pt>
                <c:pt idx="23">
                  <c:v>17872.82155</c:v>
                </c:pt>
                <c:pt idx="24">
                  <c:v>17369.145652</c:v>
                </c:pt>
                <c:pt idx="25">
                  <c:v>16454.368129</c:v>
                </c:pt>
                <c:pt idx="26">
                  <c:v>14738.536196</c:v>
                </c:pt>
                <c:pt idx="27">
                  <c:v>13876.081139</c:v>
                </c:pt>
                <c:pt idx="28">
                  <c:v>13529.970208</c:v>
                </c:pt>
                <c:pt idx="29">
                  <c:v>12987.846363</c:v>
                </c:pt>
                <c:pt idx="30">
                  <c:v>12940.880415</c:v>
                </c:pt>
                <c:pt idx="31">
                  <c:v>12840.583185</c:v>
                </c:pt>
                <c:pt idx="32">
                  <c:v>12691.859012</c:v>
                </c:pt>
                <c:pt idx="33">
                  <c:v>12615.64759</c:v>
                </c:pt>
                <c:pt idx="34">
                  <c:v>12406.548091</c:v>
                </c:pt>
                <c:pt idx="35">
                  <c:v>12088.812813</c:v>
                </c:pt>
                <c:pt idx="36">
                  <c:v>11817.744916</c:v>
                </c:pt>
                <c:pt idx="37">
                  <c:v>11649.587937</c:v>
                </c:pt>
                <c:pt idx="38">
                  <c:v>11655.362559</c:v>
                </c:pt>
                <c:pt idx="39">
                  <c:v>11782.842565</c:v>
                </c:pt>
                <c:pt idx="40">
                  <c:v>12212.087821</c:v>
                </c:pt>
                <c:pt idx="41">
                  <c:v>12723.628692</c:v>
                </c:pt>
                <c:pt idx="42">
                  <c:v>12778.693806</c:v>
                </c:pt>
                <c:pt idx="43">
                  <c:v>12958.047314</c:v>
                </c:pt>
                <c:pt idx="44">
                  <c:v>13115.519433</c:v>
                </c:pt>
                <c:pt idx="45">
                  <c:v>13560.16453</c:v>
                </c:pt>
                <c:pt idx="46">
                  <c:v>14138.974921</c:v>
                </c:pt>
                <c:pt idx="47">
                  <c:v>14556.304953</c:v>
                </c:pt>
                <c:pt idx="48">
                  <c:v>14636.329318</c:v>
                </c:pt>
                <c:pt idx="49">
                  <c:v>14710.997042</c:v>
                </c:pt>
                <c:pt idx="50">
                  <c:v>14864.083708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'catch Atlantis newsimGB'!$F$4:$F$54</c:f>
              <c:numCache>
                <c:formatCode>General</c:formatCode>
                <c:ptCount val="51"/>
                <c:pt idx="0">
                  <c:v>0.0</c:v>
                </c:pt>
                <c:pt idx="1">
                  <c:v>57204.667793</c:v>
                </c:pt>
                <c:pt idx="2">
                  <c:v>26538.516351</c:v>
                </c:pt>
                <c:pt idx="3">
                  <c:v>17264.209086</c:v>
                </c:pt>
                <c:pt idx="4">
                  <c:v>12950.621215</c:v>
                </c:pt>
                <c:pt idx="5">
                  <c:v>10401.106076</c:v>
                </c:pt>
                <c:pt idx="6">
                  <c:v>8909.764151</c:v>
                </c:pt>
                <c:pt idx="7">
                  <c:v>7915.84538</c:v>
                </c:pt>
                <c:pt idx="8">
                  <c:v>7174.492376</c:v>
                </c:pt>
                <c:pt idx="9">
                  <c:v>6635.567976</c:v>
                </c:pt>
                <c:pt idx="10">
                  <c:v>6269.407799</c:v>
                </c:pt>
                <c:pt idx="11">
                  <c:v>5952.467739</c:v>
                </c:pt>
                <c:pt idx="12">
                  <c:v>5965.415684</c:v>
                </c:pt>
                <c:pt idx="13">
                  <c:v>5759.254318</c:v>
                </c:pt>
                <c:pt idx="14">
                  <c:v>5639.000694</c:v>
                </c:pt>
                <c:pt idx="15">
                  <c:v>5567.978332</c:v>
                </c:pt>
                <c:pt idx="16">
                  <c:v>5208.691047</c:v>
                </c:pt>
                <c:pt idx="17">
                  <c:v>4948.746164</c:v>
                </c:pt>
                <c:pt idx="18">
                  <c:v>4759.333171</c:v>
                </c:pt>
                <c:pt idx="19">
                  <c:v>4530.118249</c:v>
                </c:pt>
                <c:pt idx="20">
                  <c:v>4321.534378</c:v>
                </c:pt>
                <c:pt idx="21">
                  <c:v>3741.355734</c:v>
                </c:pt>
                <c:pt idx="22">
                  <c:v>3465.503747</c:v>
                </c:pt>
                <c:pt idx="23">
                  <c:v>2933.474909</c:v>
                </c:pt>
                <c:pt idx="24">
                  <c:v>2562.873489</c:v>
                </c:pt>
                <c:pt idx="25">
                  <c:v>2180.363583</c:v>
                </c:pt>
                <c:pt idx="26">
                  <c:v>1637.657655</c:v>
                </c:pt>
                <c:pt idx="27">
                  <c:v>1427.834374</c:v>
                </c:pt>
                <c:pt idx="28">
                  <c:v>1350.791004</c:v>
                </c:pt>
                <c:pt idx="29">
                  <c:v>1333.490657</c:v>
                </c:pt>
                <c:pt idx="30">
                  <c:v>1298.077726</c:v>
                </c:pt>
                <c:pt idx="31">
                  <c:v>1186.271604</c:v>
                </c:pt>
                <c:pt idx="32">
                  <c:v>1121.175936</c:v>
                </c:pt>
                <c:pt idx="33">
                  <c:v>1035.711349</c:v>
                </c:pt>
                <c:pt idx="34">
                  <c:v>1058.651847</c:v>
                </c:pt>
                <c:pt idx="35">
                  <c:v>956.63708</c:v>
                </c:pt>
                <c:pt idx="36">
                  <c:v>946.4688599999999</c:v>
                </c:pt>
                <c:pt idx="37">
                  <c:v>878.179165</c:v>
                </c:pt>
                <c:pt idx="38">
                  <c:v>950.9654880000001</c:v>
                </c:pt>
                <c:pt idx="39">
                  <c:v>995.427605</c:v>
                </c:pt>
                <c:pt idx="40">
                  <c:v>1129.736274</c:v>
                </c:pt>
                <c:pt idx="41">
                  <c:v>1322.89059</c:v>
                </c:pt>
                <c:pt idx="42">
                  <c:v>1426.689313</c:v>
                </c:pt>
                <c:pt idx="43">
                  <c:v>1554.101992</c:v>
                </c:pt>
                <c:pt idx="44">
                  <c:v>1710.018202</c:v>
                </c:pt>
                <c:pt idx="45">
                  <c:v>1844.280007</c:v>
                </c:pt>
                <c:pt idx="46">
                  <c:v>1963.606451</c:v>
                </c:pt>
                <c:pt idx="47">
                  <c:v>2257.046919</c:v>
                </c:pt>
                <c:pt idx="48">
                  <c:v>2349.413724</c:v>
                </c:pt>
                <c:pt idx="49">
                  <c:v>2324.441512</c:v>
                </c:pt>
                <c:pt idx="50">
                  <c:v>2534.084883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'catch Atlantis newsimGB'!$G$4:$G$54</c:f>
              <c:numCache>
                <c:formatCode>General</c:formatCode>
                <c:ptCount val="51"/>
                <c:pt idx="0">
                  <c:v>0.0</c:v>
                </c:pt>
                <c:pt idx="1">
                  <c:v>16396.743218</c:v>
                </c:pt>
                <c:pt idx="2">
                  <c:v>11549.896654</c:v>
                </c:pt>
                <c:pt idx="3">
                  <c:v>10693.826241</c:v>
                </c:pt>
                <c:pt idx="4">
                  <c:v>9798.840323</c:v>
                </c:pt>
                <c:pt idx="5">
                  <c:v>9382.985102000001</c:v>
                </c:pt>
                <c:pt idx="6">
                  <c:v>9423.335391000001</c:v>
                </c:pt>
                <c:pt idx="7">
                  <c:v>9524.498552</c:v>
                </c:pt>
                <c:pt idx="8">
                  <c:v>9612.473195</c:v>
                </c:pt>
                <c:pt idx="9">
                  <c:v>9963.205541</c:v>
                </c:pt>
                <c:pt idx="10">
                  <c:v>10178.345851</c:v>
                </c:pt>
                <c:pt idx="11">
                  <c:v>10266.319659</c:v>
                </c:pt>
                <c:pt idx="12">
                  <c:v>10030.998591</c:v>
                </c:pt>
                <c:pt idx="13">
                  <c:v>10073.221027</c:v>
                </c:pt>
                <c:pt idx="14">
                  <c:v>10131.939482</c:v>
                </c:pt>
                <c:pt idx="15">
                  <c:v>10287.110124</c:v>
                </c:pt>
                <c:pt idx="16">
                  <c:v>10230.988022</c:v>
                </c:pt>
                <c:pt idx="17">
                  <c:v>9559.618447</c:v>
                </c:pt>
                <c:pt idx="18">
                  <c:v>9188.284559</c:v>
                </c:pt>
                <c:pt idx="19">
                  <c:v>8983.130748</c:v>
                </c:pt>
                <c:pt idx="20">
                  <c:v>8426.924454</c:v>
                </c:pt>
                <c:pt idx="21">
                  <c:v>8063.326942</c:v>
                </c:pt>
                <c:pt idx="22">
                  <c:v>7193.963866</c:v>
                </c:pt>
                <c:pt idx="23">
                  <c:v>6760.694313</c:v>
                </c:pt>
                <c:pt idx="24">
                  <c:v>5993.300417</c:v>
                </c:pt>
                <c:pt idx="25">
                  <c:v>5480.495865</c:v>
                </c:pt>
                <c:pt idx="26">
                  <c:v>4378.227024</c:v>
                </c:pt>
                <c:pt idx="27">
                  <c:v>4439.054249</c:v>
                </c:pt>
                <c:pt idx="28">
                  <c:v>4926.933678</c:v>
                </c:pt>
                <c:pt idx="29">
                  <c:v>4870.829922</c:v>
                </c:pt>
                <c:pt idx="30">
                  <c:v>4245.618788</c:v>
                </c:pt>
                <c:pt idx="31">
                  <c:v>4382.619534</c:v>
                </c:pt>
                <c:pt idx="32">
                  <c:v>4902.819829</c:v>
                </c:pt>
                <c:pt idx="33">
                  <c:v>4329.492983</c:v>
                </c:pt>
                <c:pt idx="34">
                  <c:v>4234.026558</c:v>
                </c:pt>
                <c:pt idx="35">
                  <c:v>4312.225644</c:v>
                </c:pt>
                <c:pt idx="36">
                  <c:v>4041.22957</c:v>
                </c:pt>
                <c:pt idx="37">
                  <c:v>4192.087308</c:v>
                </c:pt>
                <c:pt idx="38">
                  <c:v>4328.279682</c:v>
                </c:pt>
                <c:pt idx="39">
                  <c:v>4601.666101</c:v>
                </c:pt>
                <c:pt idx="40">
                  <c:v>5220.91672</c:v>
                </c:pt>
                <c:pt idx="41">
                  <c:v>5492.578185</c:v>
                </c:pt>
                <c:pt idx="42">
                  <c:v>5509.479443</c:v>
                </c:pt>
                <c:pt idx="43">
                  <c:v>5538.426589</c:v>
                </c:pt>
                <c:pt idx="44">
                  <c:v>5680.829881</c:v>
                </c:pt>
                <c:pt idx="45">
                  <c:v>5758.039972</c:v>
                </c:pt>
                <c:pt idx="46">
                  <c:v>5862.054922</c:v>
                </c:pt>
                <c:pt idx="47">
                  <c:v>6202.514201</c:v>
                </c:pt>
                <c:pt idx="48">
                  <c:v>6215.979678</c:v>
                </c:pt>
                <c:pt idx="49">
                  <c:v>6257.546286</c:v>
                </c:pt>
                <c:pt idx="50">
                  <c:v>6512.225175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'catch Atlantis newsimGB'!$H$4:$H$54</c:f>
              <c:numCache>
                <c:formatCode>General</c:formatCode>
                <c:ptCount val="51"/>
                <c:pt idx="0">
                  <c:v>0.0</c:v>
                </c:pt>
                <c:pt idx="1">
                  <c:v>25738.909682</c:v>
                </c:pt>
                <c:pt idx="2">
                  <c:v>16639.984533</c:v>
                </c:pt>
                <c:pt idx="3">
                  <c:v>12581.188305</c:v>
                </c:pt>
                <c:pt idx="4">
                  <c:v>10765.804218</c:v>
                </c:pt>
                <c:pt idx="5">
                  <c:v>9647.62981</c:v>
                </c:pt>
                <c:pt idx="6">
                  <c:v>9227.089097</c:v>
                </c:pt>
                <c:pt idx="7">
                  <c:v>8620.759110999999</c:v>
                </c:pt>
                <c:pt idx="8">
                  <c:v>8341.778858</c:v>
                </c:pt>
                <c:pt idx="9">
                  <c:v>8004.526191</c:v>
                </c:pt>
                <c:pt idx="10">
                  <c:v>7693.121595</c:v>
                </c:pt>
                <c:pt idx="11">
                  <c:v>7379.765268</c:v>
                </c:pt>
                <c:pt idx="12">
                  <c:v>7158.241096</c:v>
                </c:pt>
                <c:pt idx="13">
                  <c:v>6883.083952</c:v>
                </c:pt>
                <c:pt idx="14">
                  <c:v>6606.661132</c:v>
                </c:pt>
                <c:pt idx="15">
                  <c:v>6185.002687</c:v>
                </c:pt>
                <c:pt idx="16">
                  <c:v>5822.95512</c:v>
                </c:pt>
                <c:pt idx="17">
                  <c:v>5876.490978</c:v>
                </c:pt>
                <c:pt idx="18">
                  <c:v>5498.513114</c:v>
                </c:pt>
                <c:pt idx="19">
                  <c:v>5292.321175</c:v>
                </c:pt>
                <c:pt idx="20">
                  <c:v>5318.595937</c:v>
                </c:pt>
                <c:pt idx="21">
                  <c:v>5492.279015</c:v>
                </c:pt>
                <c:pt idx="22">
                  <c:v>5301.626586</c:v>
                </c:pt>
                <c:pt idx="23">
                  <c:v>5188.255262</c:v>
                </c:pt>
                <c:pt idx="24">
                  <c:v>5240.165735</c:v>
                </c:pt>
                <c:pt idx="25">
                  <c:v>5263.277984</c:v>
                </c:pt>
                <c:pt idx="26">
                  <c:v>4920.447042</c:v>
                </c:pt>
                <c:pt idx="27">
                  <c:v>4967.699133</c:v>
                </c:pt>
                <c:pt idx="28">
                  <c:v>5380.382307</c:v>
                </c:pt>
                <c:pt idx="29">
                  <c:v>5072.700712</c:v>
                </c:pt>
                <c:pt idx="30">
                  <c:v>5135.337982</c:v>
                </c:pt>
                <c:pt idx="31">
                  <c:v>5079.963865</c:v>
                </c:pt>
                <c:pt idx="32">
                  <c:v>5141.242628</c:v>
                </c:pt>
                <c:pt idx="33">
                  <c:v>4821.765513</c:v>
                </c:pt>
                <c:pt idx="34">
                  <c:v>5218.490294</c:v>
                </c:pt>
                <c:pt idx="35">
                  <c:v>5004.974558</c:v>
                </c:pt>
                <c:pt idx="36">
                  <c:v>5118.976866</c:v>
                </c:pt>
                <c:pt idx="37">
                  <c:v>4991.899261</c:v>
                </c:pt>
                <c:pt idx="38">
                  <c:v>4935.595449</c:v>
                </c:pt>
                <c:pt idx="39">
                  <c:v>4938.470678</c:v>
                </c:pt>
                <c:pt idx="40">
                  <c:v>5056.540205</c:v>
                </c:pt>
                <c:pt idx="41">
                  <c:v>4783.427735</c:v>
                </c:pt>
                <c:pt idx="42">
                  <c:v>5073.888972</c:v>
                </c:pt>
                <c:pt idx="43">
                  <c:v>4970.553813</c:v>
                </c:pt>
                <c:pt idx="44">
                  <c:v>4941.276457</c:v>
                </c:pt>
                <c:pt idx="45">
                  <c:v>5038.852033</c:v>
                </c:pt>
                <c:pt idx="46">
                  <c:v>4916.25964</c:v>
                </c:pt>
                <c:pt idx="47">
                  <c:v>5000.651662</c:v>
                </c:pt>
                <c:pt idx="48">
                  <c:v>4977.042495</c:v>
                </c:pt>
                <c:pt idx="49">
                  <c:v>4970.16832</c:v>
                </c:pt>
                <c:pt idx="50">
                  <c:v>4916.244921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'catch Atlantis newsimGB'!$I$4:$I$54</c:f>
              <c:numCache>
                <c:formatCode>General</c:formatCode>
                <c:ptCount val="51"/>
                <c:pt idx="0">
                  <c:v>0.0</c:v>
                </c:pt>
                <c:pt idx="1">
                  <c:v>96777.481124</c:v>
                </c:pt>
                <c:pt idx="2">
                  <c:v>91408.318008</c:v>
                </c:pt>
                <c:pt idx="3">
                  <c:v>102420.981838</c:v>
                </c:pt>
                <c:pt idx="4">
                  <c:v>116100.162793</c:v>
                </c:pt>
                <c:pt idx="5">
                  <c:v>116024.684393</c:v>
                </c:pt>
                <c:pt idx="6">
                  <c:v>115336.313369</c:v>
                </c:pt>
                <c:pt idx="7">
                  <c:v>115201.135339</c:v>
                </c:pt>
                <c:pt idx="8">
                  <c:v>115125.076338</c:v>
                </c:pt>
                <c:pt idx="9">
                  <c:v>115373.865375</c:v>
                </c:pt>
                <c:pt idx="10">
                  <c:v>115211.587548</c:v>
                </c:pt>
                <c:pt idx="11">
                  <c:v>114838.865509</c:v>
                </c:pt>
                <c:pt idx="12">
                  <c:v>104894.451153</c:v>
                </c:pt>
                <c:pt idx="13">
                  <c:v>82880.405768</c:v>
                </c:pt>
                <c:pt idx="14">
                  <c:v>381.269985</c:v>
                </c:pt>
                <c:pt idx="15">
                  <c:v>449.683016</c:v>
                </c:pt>
                <c:pt idx="16">
                  <c:v>646.80251</c:v>
                </c:pt>
                <c:pt idx="17">
                  <c:v>667.073399</c:v>
                </c:pt>
                <c:pt idx="18">
                  <c:v>553.007979</c:v>
                </c:pt>
                <c:pt idx="19">
                  <c:v>700.544535</c:v>
                </c:pt>
                <c:pt idx="20">
                  <c:v>1382.481519</c:v>
                </c:pt>
                <c:pt idx="21">
                  <c:v>1845.27429</c:v>
                </c:pt>
                <c:pt idx="22">
                  <c:v>1915.592961</c:v>
                </c:pt>
                <c:pt idx="23">
                  <c:v>3491.648998</c:v>
                </c:pt>
                <c:pt idx="24">
                  <c:v>2926.065151</c:v>
                </c:pt>
                <c:pt idx="25">
                  <c:v>2909.531517</c:v>
                </c:pt>
                <c:pt idx="26">
                  <c:v>2547.250643</c:v>
                </c:pt>
                <c:pt idx="27">
                  <c:v>3457.516528</c:v>
                </c:pt>
                <c:pt idx="28">
                  <c:v>2681.599852</c:v>
                </c:pt>
                <c:pt idx="29">
                  <c:v>2203.698928</c:v>
                </c:pt>
                <c:pt idx="30">
                  <c:v>3332.79702</c:v>
                </c:pt>
                <c:pt idx="31">
                  <c:v>2621.427072</c:v>
                </c:pt>
                <c:pt idx="32">
                  <c:v>3034.489549</c:v>
                </c:pt>
                <c:pt idx="33">
                  <c:v>4724.386179</c:v>
                </c:pt>
                <c:pt idx="34">
                  <c:v>7313.633782</c:v>
                </c:pt>
                <c:pt idx="35">
                  <c:v>5750.239213</c:v>
                </c:pt>
                <c:pt idx="36">
                  <c:v>9988.4697</c:v>
                </c:pt>
                <c:pt idx="37">
                  <c:v>11025.068055</c:v>
                </c:pt>
                <c:pt idx="38">
                  <c:v>15364.96053</c:v>
                </c:pt>
                <c:pt idx="39">
                  <c:v>14373.865257</c:v>
                </c:pt>
                <c:pt idx="40">
                  <c:v>19629.317753</c:v>
                </c:pt>
                <c:pt idx="41">
                  <c:v>14218.210268</c:v>
                </c:pt>
                <c:pt idx="42">
                  <c:v>19792.392332</c:v>
                </c:pt>
                <c:pt idx="43">
                  <c:v>26234.769432</c:v>
                </c:pt>
                <c:pt idx="44">
                  <c:v>21320.057103</c:v>
                </c:pt>
                <c:pt idx="45">
                  <c:v>23413.334986</c:v>
                </c:pt>
                <c:pt idx="46">
                  <c:v>31482.365052</c:v>
                </c:pt>
                <c:pt idx="47">
                  <c:v>33365.795502</c:v>
                </c:pt>
                <c:pt idx="48">
                  <c:v>38882.38259</c:v>
                </c:pt>
                <c:pt idx="49">
                  <c:v>39616.946257</c:v>
                </c:pt>
                <c:pt idx="50">
                  <c:v>46583.64463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'catch Atlantis newsimGB'!$J$4:$J$54</c:f>
              <c:numCache>
                <c:formatCode>General</c:formatCode>
                <c:ptCount val="51"/>
                <c:pt idx="0">
                  <c:v>0.0</c:v>
                </c:pt>
                <c:pt idx="1">
                  <c:v>21059.022249</c:v>
                </c:pt>
                <c:pt idx="2">
                  <c:v>19979.163714</c:v>
                </c:pt>
                <c:pt idx="3">
                  <c:v>19098.450787</c:v>
                </c:pt>
                <c:pt idx="4">
                  <c:v>16832.719419</c:v>
                </c:pt>
                <c:pt idx="5">
                  <c:v>15267.602202</c:v>
                </c:pt>
                <c:pt idx="6">
                  <c:v>15369.56729</c:v>
                </c:pt>
                <c:pt idx="7">
                  <c:v>16405.53135</c:v>
                </c:pt>
                <c:pt idx="8">
                  <c:v>14531.641411</c:v>
                </c:pt>
                <c:pt idx="9">
                  <c:v>14245.155932</c:v>
                </c:pt>
                <c:pt idx="10">
                  <c:v>13952.619011</c:v>
                </c:pt>
                <c:pt idx="11">
                  <c:v>14848.288956</c:v>
                </c:pt>
                <c:pt idx="12">
                  <c:v>16188.227312</c:v>
                </c:pt>
                <c:pt idx="13">
                  <c:v>14585.490708</c:v>
                </c:pt>
                <c:pt idx="14">
                  <c:v>12118.445043</c:v>
                </c:pt>
                <c:pt idx="15">
                  <c:v>15370.609758</c:v>
                </c:pt>
                <c:pt idx="16">
                  <c:v>17459.959586</c:v>
                </c:pt>
                <c:pt idx="17">
                  <c:v>19258.409498</c:v>
                </c:pt>
                <c:pt idx="18">
                  <c:v>17496.244622</c:v>
                </c:pt>
                <c:pt idx="19">
                  <c:v>21005.601845</c:v>
                </c:pt>
                <c:pt idx="20">
                  <c:v>21101.052236</c:v>
                </c:pt>
                <c:pt idx="21">
                  <c:v>17690.864783</c:v>
                </c:pt>
                <c:pt idx="22">
                  <c:v>15934.061193</c:v>
                </c:pt>
                <c:pt idx="23">
                  <c:v>13635.009766</c:v>
                </c:pt>
                <c:pt idx="24">
                  <c:v>12539.227028</c:v>
                </c:pt>
                <c:pt idx="25">
                  <c:v>11747.383053</c:v>
                </c:pt>
                <c:pt idx="26">
                  <c:v>10804.493294</c:v>
                </c:pt>
                <c:pt idx="27">
                  <c:v>11878.39116</c:v>
                </c:pt>
                <c:pt idx="28">
                  <c:v>13001.583915</c:v>
                </c:pt>
                <c:pt idx="29">
                  <c:v>13615.009035</c:v>
                </c:pt>
                <c:pt idx="30">
                  <c:v>14532.127873</c:v>
                </c:pt>
                <c:pt idx="31">
                  <c:v>11582.943833</c:v>
                </c:pt>
                <c:pt idx="32">
                  <c:v>14762.427841</c:v>
                </c:pt>
                <c:pt idx="33">
                  <c:v>12687.205758</c:v>
                </c:pt>
                <c:pt idx="34">
                  <c:v>10304.431597</c:v>
                </c:pt>
                <c:pt idx="35">
                  <c:v>11089.621296</c:v>
                </c:pt>
                <c:pt idx="36">
                  <c:v>10726.475574</c:v>
                </c:pt>
                <c:pt idx="37">
                  <c:v>10216.320663</c:v>
                </c:pt>
                <c:pt idx="38">
                  <c:v>11200.245174</c:v>
                </c:pt>
                <c:pt idx="39">
                  <c:v>10335.746611</c:v>
                </c:pt>
                <c:pt idx="40">
                  <c:v>10251.135213</c:v>
                </c:pt>
                <c:pt idx="41">
                  <c:v>10713.298546</c:v>
                </c:pt>
                <c:pt idx="42">
                  <c:v>11894.108751</c:v>
                </c:pt>
                <c:pt idx="43">
                  <c:v>12486.881642</c:v>
                </c:pt>
                <c:pt idx="44">
                  <c:v>12625.281377</c:v>
                </c:pt>
                <c:pt idx="45">
                  <c:v>12907.683214</c:v>
                </c:pt>
                <c:pt idx="46">
                  <c:v>13128.351051</c:v>
                </c:pt>
                <c:pt idx="47">
                  <c:v>13390.976437</c:v>
                </c:pt>
                <c:pt idx="48">
                  <c:v>13159.052746</c:v>
                </c:pt>
                <c:pt idx="49">
                  <c:v>12881.290691</c:v>
                </c:pt>
                <c:pt idx="50">
                  <c:v>12893.741193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'catch Atlantis newsimGB'!$K$4:$K$54</c:f>
              <c:numCache>
                <c:formatCode>General</c:formatCode>
                <c:ptCount val="51"/>
                <c:pt idx="0">
                  <c:v>0.0</c:v>
                </c:pt>
                <c:pt idx="1">
                  <c:v>4.708584</c:v>
                </c:pt>
                <c:pt idx="2">
                  <c:v>3.212767</c:v>
                </c:pt>
                <c:pt idx="3">
                  <c:v>14.266474</c:v>
                </c:pt>
                <c:pt idx="4">
                  <c:v>33.741592</c:v>
                </c:pt>
                <c:pt idx="5">
                  <c:v>26.366462</c:v>
                </c:pt>
                <c:pt idx="6">
                  <c:v>24.894171</c:v>
                </c:pt>
                <c:pt idx="7">
                  <c:v>21.671987</c:v>
                </c:pt>
                <c:pt idx="8">
                  <c:v>27.240077</c:v>
                </c:pt>
                <c:pt idx="9">
                  <c:v>53.892329</c:v>
                </c:pt>
                <c:pt idx="10">
                  <c:v>132.576168</c:v>
                </c:pt>
                <c:pt idx="11">
                  <c:v>207.639015</c:v>
                </c:pt>
                <c:pt idx="12">
                  <c:v>380.001516</c:v>
                </c:pt>
                <c:pt idx="13">
                  <c:v>499.351637</c:v>
                </c:pt>
                <c:pt idx="14">
                  <c:v>587.6111509999999</c:v>
                </c:pt>
                <c:pt idx="15">
                  <c:v>669.3866420000001</c:v>
                </c:pt>
                <c:pt idx="16">
                  <c:v>771.550037</c:v>
                </c:pt>
                <c:pt idx="17">
                  <c:v>734.148477</c:v>
                </c:pt>
                <c:pt idx="18">
                  <c:v>560.06749</c:v>
                </c:pt>
                <c:pt idx="19">
                  <c:v>651.189033</c:v>
                </c:pt>
                <c:pt idx="20">
                  <c:v>759.572683</c:v>
                </c:pt>
                <c:pt idx="21">
                  <c:v>780.581626</c:v>
                </c:pt>
                <c:pt idx="22">
                  <c:v>756.096019</c:v>
                </c:pt>
                <c:pt idx="23">
                  <c:v>762.750032</c:v>
                </c:pt>
                <c:pt idx="24">
                  <c:v>674.244926</c:v>
                </c:pt>
                <c:pt idx="25">
                  <c:v>636.781768</c:v>
                </c:pt>
                <c:pt idx="26">
                  <c:v>680.741171</c:v>
                </c:pt>
                <c:pt idx="27">
                  <c:v>691.780325</c:v>
                </c:pt>
                <c:pt idx="28">
                  <c:v>697.712479</c:v>
                </c:pt>
                <c:pt idx="29">
                  <c:v>848.3437269999999</c:v>
                </c:pt>
                <c:pt idx="30">
                  <c:v>921.757293</c:v>
                </c:pt>
                <c:pt idx="31">
                  <c:v>722.285112</c:v>
                </c:pt>
                <c:pt idx="32">
                  <c:v>1160.430536</c:v>
                </c:pt>
                <c:pt idx="33">
                  <c:v>1155.134996</c:v>
                </c:pt>
                <c:pt idx="34">
                  <c:v>1079.214641</c:v>
                </c:pt>
                <c:pt idx="35">
                  <c:v>1349.95903</c:v>
                </c:pt>
                <c:pt idx="36">
                  <c:v>1482.992898</c:v>
                </c:pt>
                <c:pt idx="37">
                  <c:v>1325.679061</c:v>
                </c:pt>
                <c:pt idx="38">
                  <c:v>1245.895747</c:v>
                </c:pt>
                <c:pt idx="39">
                  <c:v>1113.634349</c:v>
                </c:pt>
                <c:pt idx="40">
                  <c:v>969.758567</c:v>
                </c:pt>
                <c:pt idx="41">
                  <c:v>899.687775</c:v>
                </c:pt>
                <c:pt idx="42">
                  <c:v>972.164118</c:v>
                </c:pt>
                <c:pt idx="43">
                  <c:v>1058.60326</c:v>
                </c:pt>
                <c:pt idx="44">
                  <c:v>1146.147672</c:v>
                </c:pt>
                <c:pt idx="45">
                  <c:v>1115.805241</c:v>
                </c:pt>
                <c:pt idx="46">
                  <c:v>1104.25407</c:v>
                </c:pt>
                <c:pt idx="47">
                  <c:v>1149.486702</c:v>
                </c:pt>
                <c:pt idx="48">
                  <c:v>1143.599556</c:v>
                </c:pt>
                <c:pt idx="49">
                  <c:v>1113.045853</c:v>
                </c:pt>
                <c:pt idx="50">
                  <c:v>1209.687683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507384"/>
        <c:axId val="2068510328"/>
      </c:lineChart>
      <c:catAx>
        <c:axId val="2068507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68510328"/>
        <c:crosses val="autoZero"/>
        <c:auto val="1"/>
        <c:lblAlgn val="ctr"/>
        <c:lblOffset val="100"/>
        <c:noMultiLvlLbl val="0"/>
      </c:catAx>
      <c:valAx>
        <c:axId val="2068510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8507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'biomass Atlantis'!$M$3</c:f>
              <c:strCache>
                <c:ptCount val="1"/>
                <c:pt idx="0">
                  <c:v>spinydog</c:v>
                </c:pt>
              </c:strCache>
            </c:strRef>
          </c:tx>
          <c:marker>
            <c:symbol val="none"/>
          </c:marker>
          <c:val>
            <c:numRef>
              <c:f>'biomass Atlantis'!$M$4:$M$55</c:f>
              <c:numCache>
                <c:formatCode>General</c:formatCode>
                <c:ptCount val="52"/>
                <c:pt idx="0">
                  <c:v>322944.0</c:v>
                </c:pt>
                <c:pt idx="1">
                  <c:v>318582.964224</c:v>
                </c:pt>
                <c:pt idx="2">
                  <c:v>313505.315712</c:v>
                </c:pt>
                <c:pt idx="3">
                  <c:v>311187.22368</c:v>
                </c:pt>
                <c:pt idx="4">
                  <c:v>313237.272192</c:v>
                </c:pt>
                <c:pt idx="5">
                  <c:v>321777.203328</c:v>
                </c:pt>
                <c:pt idx="6">
                  <c:v>335764.230912</c:v>
                </c:pt>
                <c:pt idx="7">
                  <c:v>355575.230592</c:v>
                </c:pt>
                <c:pt idx="8">
                  <c:v>391881.24096</c:v>
                </c:pt>
                <c:pt idx="9">
                  <c:v>420356.82816</c:v>
                </c:pt>
                <c:pt idx="10">
                  <c:v>453098.182656</c:v>
                </c:pt>
                <c:pt idx="11">
                  <c:v>489544.35072</c:v>
                </c:pt>
                <c:pt idx="12">
                  <c:v>526790.451072</c:v>
                </c:pt>
                <c:pt idx="13">
                  <c:v>564224.181888</c:v>
                </c:pt>
                <c:pt idx="14">
                  <c:v>603763.18464</c:v>
                </c:pt>
                <c:pt idx="15">
                  <c:v>644112.130944</c:v>
                </c:pt>
                <c:pt idx="16">
                  <c:v>685405.04256</c:v>
                </c:pt>
                <c:pt idx="17">
                  <c:v>717264.436992</c:v>
                </c:pt>
                <c:pt idx="18">
                  <c:v>744810.268416</c:v>
                </c:pt>
                <c:pt idx="19">
                  <c:v>767269.73184</c:v>
                </c:pt>
                <c:pt idx="20">
                  <c:v>789731.1329280001</c:v>
                </c:pt>
                <c:pt idx="21">
                  <c:v>979954.837248</c:v>
                </c:pt>
                <c:pt idx="22">
                  <c:v>985479.7632</c:v>
                </c:pt>
                <c:pt idx="23">
                  <c:v>1.000515389952E6</c:v>
                </c:pt>
                <c:pt idx="24">
                  <c:v>1.023820643712E6</c:v>
                </c:pt>
                <c:pt idx="25">
                  <c:v>1.049917425408E6</c:v>
                </c:pt>
                <c:pt idx="26">
                  <c:v>1.0786894752E6</c:v>
                </c:pt>
                <c:pt idx="27">
                  <c:v>1.22478288192E6</c:v>
                </c:pt>
                <c:pt idx="28">
                  <c:v>1.201531236864E6</c:v>
                </c:pt>
                <c:pt idx="29">
                  <c:v>1.187721182592E6</c:v>
                </c:pt>
                <c:pt idx="30">
                  <c:v>1.173335965056E6</c:v>
                </c:pt>
                <c:pt idx="31">
                  <c:v>1.164290949504E6</c:v>
                </c:pt>
                <c:pt idx="32">
                  <c:v>1.15642371072E6</c:v>
                </c:pt>
                <c:pt idx="33">
                  <c:v>1.203591619584E6</c:v>
                </c:pt>
                <c:pt idx="34">
                  <c:v>1.187939492736E6</c:v>
                </c:pt>
                <c:pt idx="35">
                  <c:v>1.1749187136E6</c:v>
                </c:pt>
                <c:pt idx="36">
                  <c:v>1.16494135872E6</c:v>
                </c:pt>
                <c:pt idx="37">
                  <c:v>1.200004680576E6</c:v>
                </c:pt>
                <c:pt idx="38">
                  <c:v>1.189195421952E6</c:v>
                </c:pt>
                <c:pt idx="39">
                  <c:v>1.184021859072E6</c:v>
                </c:pt>
                <c:pt idx="40">
                  <c:v>1.294204861824E6</c:v>
                </c:pt>
                <c:pt idx="41">
                  <c:v>1.256708156928E6</c:v>
                </c:pt>
                <c:pt idx="42">
                  <c:v>1.225214335104E6</c:v>
                </c:pt>
                <c:pt idx="43">
                  <c:v>1.195731485568E6</c:v>
                </c:pt>
                <c:pt idx="44">
                  <c:v>1.168301268096E6</c:v>
                </c:pt>
                <c:pt idx="45">
                  <c:v>1.144856825472E6</c:v>
                </c:pt>
                <c:pt idx="46">
                  <c:v>1.12343821056E6</c:v>
                </c:pt>
                <c:pt idx="47">
                  <c:v>1.104724897536E6</c:v>
                </c:pt>
                <c:pt idx="48">
                  <c:v>1.0939970208E6</c:v>
                </c:pt>
                <c:pt idx="49">
                  <c:v>1.076095911936E6</c:v>
                </c:pt>
                <c:pt idx="50">
                  <c:v>1.134127979904E6</c:v>
                </c:pt>
                <c:pt idx="51">
                  <c:v>1.138306229376E6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'biomass Atlantis'!$N$3</c:f>
              <c:strCache>
                <c:ptCount val="1"/>
                <c:pt idx="0">
                  <c:v>winterskate</c:v>
                </c:pt>
              </c:strCache>
            </c:strRef>
          </c:tx>
          <c:marker>
            <c:symbol val="none"/>
          </c:marker>
          <c:val>
            <c:numRef>
              <c:f>'biomass Atlantis'!$N$4:$N$55</c:f>
              <c:numCache>
                <c:formatCode>General</c:formatCode>
                <c:ptCount val="52"/>
                <c:pt idx="0" formatCode="0.00E+00">
                  <c:v>9.41377E6</c:v>
                </c:pt>
                <c:pt idx="1">
                  <c:v>1.230536007582E7</c:v>
                </c:pt>
                <c:pt idx="2">
                  <c:v>1.452352670092E7</c:v>
                </c:pt>
                <c:pt idx="3">
                  <c:v>1.634623026209E7</c:v>
                </c:pt>
                <c:pt idx="4">
                  <c:v>1.753808885425E7</c:v>
                </c:pt>
                <c:pt idx="5">
                  <c:v>1.873047461753E7</c:v>
                </c:pt>
                <c:pt idx="6">
                  <c:v>1.993061732729E7</c:v>
                </c:pt>
                <c:pt idx="7">
                  <c:v>2.038185697847E7</c:v>
                </c:pt>
                <c:pt idx="8">
                  <c:v>2.112326667613E7</c:v>
                </c:pt>
                <c:pt idx="9">
                  <c:v>2.190806443972E7</c:v>
                </c:pt>
                <c:pt idx="10">
                  <c:v>2.184116077633E7</c:v>
                </c:pt>
                <c:pt idx="11">
                  <c:v>2.215891316891E7</c:v>
                </c:pt>
                <c:pt idx="12">
                  <c:v>2.238948463752E7</c:v>
                </c:pt>
                <c:pt idx="13">
                  <c:v>2.154186878672E7</c:v>
                </c:pt>
                <c:pt idx="14">
                  <c:v>2.130840729072E7</c:v>
                </c:pt>
                <c:pt idx="15">
                  <c:v>2.110674550978E7</c:v>
                </c:pt>
                <c:pt idx="16">
                  <c:v>1.975341252081E7</c:v>
                </c:pt>
                <c:pt idx="17">
                  <c:v>1.906847602938E7</c:v>
                </c:pt>
                <c:pt idx="18">
                  <c:v>1.833645186041E7</c:v>
                </c:pt>
                <c:pt idx="19">
                  <c:v>1.694625454812E7</c:v>
                </c:pt>
                <c:pt idx="20">
                  <c:v>1.608542176424E7</c:v>
                </c:pt>
                <c:pt idx="21">
                  <c:v>1.553914069114E7</c:v>
                </c:pt>
                <c:pt idx="22">
                  <c:v>1.437354651728E7</c:v>
                </c:pt>
                <c:pt idx="23">
                  <c:v>1.35893418212E7</c:v>
                </c:pt>
                <c:pt idx="24">
                  <c:v>1.286860476246E7</c:v>
                </c:pt>
                <c:pt idx="25">
                  <c:v>1.220512225286E7</c:v>
                </c:pt>
                <c:pt idx="26">
                  <c:v>1.159093965675E7</c:v>
                </c:pt>
                <c:pt idx="27">
                  <c:v>1.10957282859E7</c:v>
                </c:pt>
                <c:pt idx="28">
                  <c:v>1.065048520621E7</c:v>
                </c:pt>
                <c:pt idx="29">
                  <c:v>1.022807051877E7</c:v>
                </c:pt>
                <c:pt idx="30">
                  <c:v>9.91445077122E6</c:v>
                </c:pt>
                <c:pt idx="31">
                  <c:v>9.59371421355E6</c:v>
                </c:pt>
                <c:pt idx="32">
                  <c:v>9.22676545895E6</c:v>
                </c:pt>
                <c:pt idx="33">
                  <c:v>8.99366168621E6</c:v>
                </c:pt>
                <c:pt idx="34">
                  <c:v>8.6959700375E6</c:v>
                </c:pt>
                <c:pt idx="35">
                  <c:v>8.46943707622E6</c:v>
                </c:pt>
                <c:pt idx="36">
                  <c:v>8.21550063047E6</c:v>
                </c:pt>
                <c:pt idx="37">
                  <c:v>8.03754272239E6</c:v>
                </c:pt>
                <c:pt idx="38">
                  <c:v>7.92357962277E6</c:v>
                </c:pt>
                <c:pt idx="39">
                  <c:v>7.8592741599E6</c:v>
                </c:pt>
                <c:pt idx="40">
                  <c:v>7.79398025118E6</c:v>
                </c:pt>
                <c:pt idx="41">
                  <c:v>7.76656735294E6</c:v>
                </c:pt>
                <c:pt idx="42">
                  <c:v>7.73018313189E6</c:v>
                </c:pt>
                <c:pt idx="43">
                  <c:v>7.6732580647E6</c:v>
                </c:pt>
                <c:pt idx="44">
                  <c:v>7.68021484073E6</c:v>
                </c:pt>
                <c:pt idx="45">
                  <c:v>7.66371250192E6</c:v>
                </c:pt>
                <c:pt idx="46">
                  <c:v>7.63940614778E6</c:v>
                </c:pt>
                <c:pt idx="47">
                  <c:v>7.64760554145E6</c:v>
                </c:pt>
                <c:pt idx="48">
                  <c:v>7.69545573436E6</c:v>
                </c:pt>
                <c:pt idx="49">
                  <c:v>7.7084655645E6</c:v>
                </c:pt>
                <c:pt idx="50">
                  <c:v>7.72300983915E6</c:v>
                </c:pt>
                <c:pt idx="51">
                  <c:v>7.76092850471E6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'biomass Atlantis'!$O$3</c:f>
              <c:strCache>
                <c:ptCount val="1"/>
                <c:pt idx="0">
                  <c:v>Aherring</c:v>
                </c:pt>
              </c:strCache>
            </c:strRef>
          </c:tx>
          <c:marker>
            <c:symbol val="none"/>
          </c:marker>
          <c:val>
            <c:numRef>
              <c:f>'biomass Atlantis'!$O$4:$O$55</c:f>
              <c:numCache>
                <c:formatCode>General</c:formatCode>
                <c:ptCount val="52"/>
                <c:pt idx="0" formatCode="0.00E+00">
                  <c:v>2.99486E6</c:v>
                </c:pt>
                <c:pt idx="1">
                  <c:v>2.60453091162E6</c:v>
                </c:pt>
                <c:pt idx="2">
                  <c:v>2.14174118554E6</c:v>
                </c:pt>
                <c:pt idx="3">
                  <c:v>1.69651032364E6</c:v>
                </c:pt>
                <c:pt idx="4">
                  <c:v>1.31618406766E6</c:v>
                </c:pt>
                <c:pt idx="5">
                  <c:v>1.02014814638E6</c:v>
                </c:pt>
                <c:pt idx="6">
                  <c:v>796743.56982</c:v>
                </c:pt>
                <c:pt idx="7">
                  <c:v>668707.3151</c:v>
                </c:pt>
                <c:pt idx="8">
                  <c:v>542216.40814</c:v>
                </c:pt>
                <c:pt idx="9">
                  <c:v>473550.25806</c:v>
                </c:pt>
                <c:pt idx="10">
                  <c:v>448896.57054</c:v>
                </c:pt>
                <c:pt idx="11">
                  <c:v>493717.6453</c:v>
                </c:pt>
                <c:pt idx="12">
                  <c:v>397879.13044</c:v>
                </c:pt>
                <c:pt idx="13">
                  <c:v>340716.23762</c:v>
                </c:pt>
                <c:pt idx="14">
                  <c:v>668887.0067</c:v>
                </c:pt>
                <c:pt idx="15">
                  <c:v>1.0436787614E6</c:v>
                </c:pt>
                <c:pt idx="16">
                  <c:v>1.3531076966E6</c:v>
                </c:pt>
                <c:pt idx="17">
                  <c:v>1.52892394776E6</c:v>
                </c:pt>
                <c:pt idx="18">
                  <c:v>1.66283911266E6</c:v>
                </c:pt>
                <c:pt idx="19">
                  <c:v>2.16890157088E6</c:v>
                </c:pt>
                <c:pt idx="20">
                  <c:v>2.14675757604E6</c:v>
                </c:pt>
                <c:pt idx="21">
                  <c:v>2.11025921722E6</c:v>
                </c:pt>
                <c:pt idx="22">
                  <c:v>2.06690562386E6</c:v>
                </c:pt>
                <c:pt idx="23">
                  <c:v>1.997122391E6</c:v>
                </c:pt>
                <c:pt idx="24">
                  <c:v>1.9189265964E6</c:v>
                </c:pt>
                <c:pt idx="25">
                  <c:v>1.84471995532E6</c:v>
                </c:pt>
                <c:pt idx="26">
                  <c:v>1.7742748584E6</c:v>
                </c:pt>
                <c:pt idx="27">
                  <c:v>1.8545371064E6</c:v>
                </c:pt>
                <c:pt idx="28">
                  <c:v>1.77055823714E6</c:v>
                </c:pt>
                <c:pt idx="29">
                  <c:v>1.70444071292E6</c:v>
                </c:pt>
                <c:pt idx="30">
                  <c:v>2.20217147062E6</c:v>
                </c:pt>
                <c:pt idx="31">
                  <c:v>2.42011342254E6</c:v>
                </c:pt>
                <c:pt idx="32">
                  <c:v>2.19219559196E6</c:v>
                </c:pt>
                <c:pt idx="33">
                  <c:v>2.76802031902E6</c:v>
                </c:pt>
                <c:pt idx="34">
                  <c:v>2.43144896764E6</c:v>
                </c:pt>
                <c:pt idx="35">
                  <c:v>2.20883503412E6</c:v>
                </c:pt>
                <c:pt idx="36">
                  <c:v>1.98920398116E6</c:v>
                </c:pt>
                <c:pt idx="37">
                  <c:v>2.27322452412E6</c:v>
                </c:pt>
                <c:pt idx="38">
                  <c:v>2.07102655122E6</c:v>
                </c:pt>
                <c:pt idx="39">
                  <c:v>1.82740966452E6</c:v>
                </c:pt>
                <c:pt idx="40">
                  <c:v>2.54929670864E6</c:v>
                </c:pt>
                <c:pt idx="41">
                  <c:v>2.6404332933E6</c:v>
                </c:pt>
                <c:pt idx="42">
                  <c:v>2.17376821838E6</c:v>
                </c:pt>
                <c:pt idx="43">
                  <c:v>1.805002122E6</c:v>
                </c:pt>
                <c:pt idx="44">
                  <c:v>1.73253249972E6</c:v>
                </c:pt>
                <c:pt idx="45">
                  <c:v>1.45658310446E6</c:v>
                </c:pt>
                <c:pt idx="46">
                  <c:v>1.29839759412E6</c:v>
                </c:pt>
                <c:pt idx="47">
                  <c:v>1.35409001068E6</c:v>
                </c:pt>
                <c:pt idx="48">
                  <c:v>1.21854264708E6</c:v>
                </c:pt>
                <c:pt idx="49">
                  <c:v>1.13296152772E6</c:v>
                </c:pt>
                <c:pt idx="50">
                  <c:v>1.07712236302E6</c:v>
                </c:pt>
                <c:pt idx="51">
                  <c:v>1.10277333892E6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'biomass Atlantis'!$P$3</c:f>
              <c:strCache>
                <c:ptCount val="1"/>
                <c:pt idx="0">
                  <c:v>Acod</c:v>
                </c:pt>
              </c:strCache>
            </c:strRef>
          </c:tx>
          <c:marker>
            <c:symbol val="none"/>
          </c:marker>
          <c:val>
            <c:numRef>
              <c:f>'biomass Atlantis'!$P$4:$P$55</c:f>
              <c:numCache>
                <c:formatCode>General</c:formatCode>
                <c:ptCount val="52"/>
                <c:pt idx="0" formatCode="0.00E+00">
                  <c:v>2.77816E6</c:v>
                </c:pt>
                <c:pt idx="1">
                  <c:v>2.76369134272E6</c:v>
                </c:pt>
                <c:pt idx="2">
                  <c:v>2.83077001592E6</c:v>
                </c:pt>
                <c:pt idx="3">
                  <c:v>3.11802342544E6</c:v>
                </c:pt>
                <c:pt idx="4">
                  <c:v>3.59526686288E6</c:v>
                </c:pt>
                <c:pt idx="5">
                  <c:v>3.788993516E6</c:v>
                </c:pt>
                <c:pt idx="6">
                  <c:v>3.674255508E6</c:v>
                </c:pt>
                <c:pt idx="7">
                  <c:v>3.55028845248E6</c:v>
                </c:pt>
                <c:pt idx="8">
                  <c:v>3.39276678048E6</c:v>
                </c:pt>
                <c:pt idx="9">
                  <c:v>3.21965685272E6</c:v>
                </c:pt>
                <c:pt idx="10">
                  <c:v>3.06658023672E6</c:v>
                </c:pt>
                <c:pt idx="11">
                  <c:v>2.91262572216E6</c:v>
                </c:pt>
                <c:pt idx="12">
                  <c:v>2.73709323888E6</c:v>
                </c:pt>
                <c:pt idx="13">
                  <c:v>2.56223029216E6</c:v>
                </c:pt>
                <c:pt idx="14">
                  <c:v>2.4229166808E6</c:v>
                </c:pt>
                <c:pt idx="15">
                  <c:v>2.24816208232E6</c:v>
                </c:pt>
                <c:pt idx="16">
                  <c:v>2.07642178744E6</c:v>
                </c:pt>
                <c:pt idx="17">
                  <c:v>1.93445503328E6</c:v>
                </c:pt>
                <c:pt idx="18">
                  <c:v>1.80964063896E6</c:v>
                </c:pt>
                <c:pt idx="19">
                  <c:v>1.68242313624E6</c:v>
                </c:pt>
                <c:pt idx="20">
                  <c:v>1.56560706456E6</c:v>
                </c:pt>
                <c:pt idx="21">
                  <c:v>1.4727165068E6</c:v>
                </c:pt>
                <c:pt idx="22">
                  <c:v>1.38433490272E6</c:v>
                </c:pt>
                <c:pt idx="23">
                  <c:v>1.30426833152E6</c:v>
                </c:pt>
                <c:pt idx="24">
                  <c:v>1.2080273128E6</c:v>
                </c:pt>
                <c:pt idx="25">
                  <c:v>1.11806493568E6</c:v>
                </c:pt>
                <c:pt idx="26">
                  <c:v>1.04979721E6</c:v>
                </c:pt>
                <c:pt idx="27">
                  <c:v>1.02187948016E6</c:v>
                </c:pt>
                <c:pt idx="28">
                  <c:v>996187.05648</c:v>
                </c:pt>
                <c:pt idx="29">
                  <c:v>969111.1091199999</c:v>
                </c:pt>
                <c:pt idx="30">
                  <c:v>964196.54408</c:v>
                </c:pt>
                <c:pt idx="31">
                  <c:v>951633.70456</c:v>
                </c:pt>
                <c:pt idx="32">
                  <c:v>933072.8176</c:v>
                </c:pt>
                <c:pt idx="33">
                  <c:v>923235.35304</c:v>
                </c:pt>
                <c:pt idx="34">
                  <c:v>902985.3448</c:v>
                </c:pt>
                <c:pt idx="35">
                  <c:v>898395.82448</c:v>
                </c:pt>
                <c:pt idx="36">
                  <c:v>904571.6741599999</c:v>
                </c:pt>
                <c:pt idx="37">
                  <c:v>922382.45792</c:v>
                </c:pt>
                <c:pt idx="38">
                  <c:v>951800.39416</c:v>
                </c:pt>
                <c:pt idx="39">
                  <c:v>991600.31432</c:v>
                </c:pt>
                <c:pt idx="40">
                  <c:v>1.03363665328E6</c:v>
                </c:pt>
                <c:pt idx="41">
                  <c:v>1.07738156064E6</c:v>
                </c:pt>
                <c:pt idx="42">
                  <c:v>1.09459504E6</c:v>
                </c:pt>
                <c:pt idx="43">
                  <c:v>1.12375460736E6</c:v>
                </c:pt>
                <c:pt idx="44">
                  <c:v>1.15840104072E6</c:v>
                </c:pt>
                <c:pt idx="45">
                  <c:v>1.21252515384E6</c:v>
                </c:pt>
                <c:pt idx="46">
                  <c:v>1.2541725504E6</c:v>
                </c:pt>
                <c:pt idx="47">
                  <c:v>1.28090400592E6</c:v>
                </c:pt>
                <c:pt idx="48">
                  <c:v>1.29707567528E6</c:v>
                </c:pt>
                <c:pt idx="49">
                  <c:v>1.32381546528E6</c:v>
                </c:pt>
                <c:pt idx="50">
                  <c:v>1.34032051384E6</c:v>
                </c:pt>
                <c:pt idx="51">
                  <c:v>1.34213187416E6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'biomass Atlantis'!$Q$3</c:f>
              <c:strCache>
                <c:ptCount val="1"/>
                <c:pt idx="0">
                  <c:v>haddock</c:v>
                </c:pt>
              </c:strCache>
            </c:strRef>
          </c:tx>
          <c:marker>
            <c:symbol val="none"/>
          </c:marker>
          <c:val>
            <c:numRef>
              <c:f>'biomass Atlantis'!$Q$4:$Q$55</c:f>
              <c:numCache>
                <c:formatCode>General</c:formatCode>
                <c:ptCount val="52"/>
                <c:pt idx="0" formatCode="0.00E+00">
                  <c:v>1.55912E7</c:v>
                </c:pt>
                <c:pt idx="1">
                  <c:v>8.4455815368E6</c:v>
                </c:pt>
                <c:pt idx="2">
                  <c:v>6.8836395296E6</c:v>
                </c:pt>
                <c:pt idx="3">
                  <c:v>5.9188560736E6</c:v>
                </c:pt>
                <c:pt idx="4">
                  <c:v>5.2222880312E6</c:v>
                </c:pt>
                <c:pt idx="5">
                  <c:v>4.6225725232E6</c:v>
                </c:pt>
                <c:pt idx="6">
                  <c:v>4.17727226E6</c:v>
                </c:pt>
                <c:pt idx="7">
                  <c:v>3.7827993088E6</c:v>
                </c:pt>
                <c:pt idx="8">
                  <c:v>3.4625872432E6</c:v>
                </c:pt>
                <c:pt idx="9">
                  <c:v>3.1997507936E6</c:v>
                </c:pt>
                <c:pt idx="10">
                  <c:v>2.969577908E6</c:v>
                </c:pt>
                <c:pt idx="11">
                  <c:v>2.769620768E6</c:v>
                </c:pt>
                <c:pt idx="12">
                  <c:v>2.5628658648E6</c:v>
                </c:pt>
                <c:pt idx="13">
                  <c:v>2.3664011536E6</c:v>
                </c:pt>
                <c:pt idx="14">
                  <c:v>2.1942119408E6</c:v>
                </c:pt>
                <c:pt idx="15">
                  <c:v>2.0069304464E6</c:v>
                </c:pt>
                <c:pt idx="16">
                  <c:v>1.8418196384E6</c:v>
                </c:pt>
                <c:pt idx="17">
                  <c:v>1.6858452736E6</c:v>
                </c:pt>
                <c:pt idx="18">
                  <c:v>1.5193156664E6</c:v>
                </c:pt>
                <c:pt idx="19">
                  <c:v>1.346066252E6</c:v>
                </c:pt>
                <c:pt idx="20">
                  <c:v>1.1666583136E6</c:v>
                </c:pt>
                <c:pt idx="21">
                  <c:v>1.0202257632E6</c:v>
                </c:pt>
                <c:pt idx="22">
                  <c:v>855224.0936</c:v>
                </c:pt>
                <c:pt idx="23">
                  <c:v>720173.1192000001</c:v>
                </c:pt>
                <c:pt idx="24">
                  <c:v>582471.6408</c:v>
                </c:pt>
                <c:pt idx="25">
                  <c:v>472304.2216</c:v>
                </c:pt>
                <c:pt idx="26">
                  <c:v>430130.0256</c:v>
                </c:pt>
                <c:pt idx="27">
                  <c:v>411155.5352</c:v>
                </c:pt>
                <c:pt idx="28">
                  <c:v>389327.8552</c:v>
                </c:pt>
                <c:pt idx="29">
                  <c:v>370041.5408</c:v>
                </c:pt>
                <c:pt idx="30">
                  <c:v>342710.1672</c:v>
                </c:pt>
                <c:pt idx="31">
                  <c:v>323673.312</c:v>
                </c:pt>
                <c:pt idx="32">
                  <c:v>301050.4808</c:v>
                </c:pt>
                <c:pt idx="33">
                  <c:v>287829.1432</c:v>
                </c:pt>
                <c:pt idx="34">
                  <c:v>267124.0296</c:v>
                </c:pt>
                <c:pt idx="35">
                  <c:v>258782.7376</c:v>
                </c:pt>
                <c:pt idx="36">
                  <c:v>259546.7064</c:v>
                </c:pt>
                <c:pt idx="37">
                  <c:v>276478.7496</c:v>
                </c:pt>
                <c:pt idx="38">
                  <c:v>302874.6512</c:v>
                </c:pt>
                <c:pt idx="39">
                  <c:v>346545.6024</c:v>
                </c:pt>
                <c:pt idx="40">
                  <c:v>394847.14</c:v>
                </c:pt>
                <c:pt idx="41">
                  <c:v>433622.4544</c:v>
                </c:pt>
                <c:pt idx="42">
                  <c:v>482953.0112</c:v>
                </c:pt>
                <c:pt idx="43">
                  <c:v>538099.0856</c:v>
                </c:pt>
                <c:pt idx="44">
                  <c:v>594398.9088</c:v>
                </c:pt>
                <c:pt idx="45">
                  <c:v>654471.8024</c:v>
                </c:pt>
                <c:pt idx="46">
                  <c:v>713936.6392</c:v>
                </c:pt>
                <c:pt idx="47">
                  <c:v>745711.5048000001</c:v>
                </c:pt>
                <c:pt idx="48">
                  <c:v>788509.3488</c:v>
                </c:pt>
                <c:pt idx="49">
                  <c:v>842049.5296</c:v>
                </c:pt>
                <c:pt idx="50">
                  <c:v>878392.6168</c:v>
                </c:pt>
                <c:pt idx="51">
                  <c:v>857859.0064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'biomass Atlantis'!$R$3</c:f>
              <c:strCache>
                <c:ptCount val="1"/>
                <c:pt idx="0">
                  <c:v>yellowtailfl</c:v>
                </c:pt>
              </c:strCache>
            </c:strRef>
          </c:tx>
          <c:marker>
            <c:symbol val="none"/>
          </c:marker>
          <c:val>
            <c:numRef>
              <c:f>'biomass Atlantis'!$R$4:$R$55</c:f>
              <c:numCache>
                <c:formatCode>General</c:formatCode>
                <c:ptCount val="52"/>
                <c:pt idx="0" formatCode="0.00E+00">
                  <c:v>4.91466E6</c:v>
                </c:pt>
                <c:pt idx="1">
                  <c:v>3.5694192648E6</c:v>
                </c:pt>
                <c:pt idx="2">
                  <c:v>3.6956768802E6</c:v>
                </c:pt>
                <c:pt idx="3">
                  <c:v>3.51362312982E6</c:v>
                </c:pt>
                <c:pt idx="4">
                  <c:v>3.19227317106E6</c:v>
                </c:pt>
                <c:pt idx="5">
                  <c:v>3.04260211542E6</c:v>
                </c:pt>
                <c:pt idx="6">
                  <c:v>2.90013103668E6</c:v>
                </c:pt>
                <c:pt idx="7">
                  <c:v>2.75953735806E6</c:v>
                </c:pt>
                <c:pt idx="8">
                  <c:v>2.58750951408E6</c:v>
                </c:pt>
                <c:pt idx="9">
                  <c:v>2.51340135594E6</c:v>
                </c:pt>
                <c:pt idx="10">
                  <c:v>2.3596019859E6</c:v>
                </c:pt>
                <c:pt idx="11">
                  <c:v>2.22684227532E6</c:v>
                </c:pt>
                <c:pt idx="12">
                  <c:v>2.04397269138E6</c:v>
                </c:pt>
                <c:pt idx="13">
                  <c:v>1.94379226194E6</c:v>
                </c:pt>
                <c:pt idx="14">
                  <c:v>1.79233227006E6</c:v>
                </c:pt>
                <c:pt idx="15">
                  <c:v>1.65913024008E6</c:v>
                </c:pt>
                <c:pt idx="16">
                  <c:v>1.49983628016E6</c:v>
                </c:pt>
                <c:pt idx="17">
                  <c:v>1.3365909336E6</c:v>
                </c:pt>
                <c:pt idx="18">
                  <c:v>1.22017738218E6</c:v>
                </c:pt>
                <c:pt idx="19">
                  <c:v>1.09927674618E6</c:v>
                </c:pt>
                <c:pt idx="20">
                  <c:v>974208.4785000001</c:v>
                </c:pt>
                <c:pt idx="21">
                  <c:v>864464.1207</c:v>
                </c:pt>
                <c:pt idx="22">
                  <c:v>751584.20982</c:v>
                </c:pt>
                <c:pt idx="23">
                  <c:v>664304.76288</c:v>
                </c:pt>
                <c:pt idx="24">
                  <c:v>575998.152</c:v>
                </c:pt>
                <c:pt idx="25">
                  <c:v>517228.64772</c:v>
                </c:pt>
                <c:pt idx="26">
                  <c:v>521243.92494</c:v>
                </c:pt>
                <c:pt idx="27">
                  <c:v>540774.7837800001</c:v>
                </c:pt>
                <c:pt idx="28">
                  <c:v>529957.61712</c:v>
                </c:pt>
                <c:pt idx="29">
                  <c:v>507232.22928</c:v>
                </c:pt>
                <c:pt idx="30">
                  <c:v>506323.01718</c:v>
                </c:pt>
                <c:pt idx="31">
                  <c:v>511517.8128</c:v>
                </c:pt>
                <c:pt idx="32">
                  <c:v>487396.66152</c:v>
                </c:pt>
                <c:pt idx="33">
                  <c:v>468755.35614</c:v>
                </c:pt>
                <c:pt idx="34">
                  <c:v>469841.496</c:v>
                </c:pt>
                <c:pt idx="35">
                  <c:v>470524.63374</c:v>
                </c:pt>
                <c:pt idx="36">
                  <c:v>492237.60162</c:v>
                </c:pt>
                <c:pt idx="37">
                  <c:v>526443.63522</c:v>
                </c:pt>
                <c:pt idx="38">
                  <c:v>565947.6723</c:v>
                </c:pt>
                <c:pt idx="39">
                  <c:v>611201.86158</c:v>
                </c:pt>
                <c:pt idx="40">
                  <c:v>636001.2359399999</c:v>
                </c:pt>
                <c:pt idx="41">
                  <c:v>647349.18588</c:v>
                </c:pt>
                <c:pt idx="42">
                  <c:v>663803.46756</c:v>
                </c:pt>
                <c:pt idx="43">
                  <c:v>689059.9053</c:v>
                </c:pt>
                <c:pt idx="44">
                  <c:v>716930.94216</c:v>
                </c:pt>
                <c:pt idx="45">
                  <c:v>742295.50242</c:v>
                </c:pt>
                <c:pt idx="46">
                  <c:v>768397.2616799999</c:v>
                </c:pt>
                <c:pt idx="47">
                  <c:v>790945.72176</c:v>
                </c:pt>
                <c:pt idx="48">
                  <c:v>803183.2251599999</c:v>
                </c:pt>
                <c:pt idx="49">
                  <c:v>833482.1040599999</c:v>
                </c:pt>
                <c:pt idx="50">
                  <c:v>845360.83728</c:v>
                </c:pt>
                <c:pt idx="51">
                  <c:v>833722.9224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'biomass Atlantis'!$S$3</c:f>
              <c:strCache>
                <c:ptCount val="1"/>
                <c:pt idx="0">
                  <c:v>winterfl</c:v>
                </c:pt>
              </c:strCache>
            </c:strRef>
          </c:tx>
          <c:marker>
            <c:symbol val="none"/>
          </c:marker>
          <c:val>
            <c:numRef>
              <c:f>'biomass Atlantis'!$S$4:$S$55</c:f>
              <c:numCache>
                <c:formatCode>General</c:formatCode>
                <c:ptCount val="52"/>
                <c:pt idx="0" formatCode="0.00E+00">
                  <c:v>1.36349E6</c:v>
                </c:pt>
                <c:pt idx="1">
                  <c:v>1.42223051269E6</c:v>
                </c:pt>
                <c:pt idx="2">
                  <c:v>1.27932312579E6</c:v>
                </c:pt>
                <c:pt idx="3">
                  <c:v>1.17687048719E6</c:v>
                </c:pt>
                <c:pt idx="4">
                  <c:v>1.08247334751E6</c:v>
                </c:pt>
                <c:pt idx="5">
                  <c:v>1.03075889879E6</c:v>
                </c:pt>
                <c:pt idx="6">
                  <c:v>944591.78475</c:v>
                </c:pt>
                <c:pt idx="7">
                  <c:v>897859.52849</c:v>
                </c:pt>
                <c:pt idx="8">
                  <c:v>826456.28417</c:v>
                </c:pt>
                <c:pt idx="9">
                  <c:v>765167.40867</c:v>
                </c:pt>
                <c:pt idx="10">
                  <c:v>703410.8561</c:v>
                </c:pt>
                <c:pt idx="11">
                  <c:v>648700.81985</c:v>
                </c:pt>
                <c:pt idx="12">
                  <c:v>580096.8205</c:v>
                </c:pt>
                <c:pt idx="13">
                  <c:v>517803.05287</c:v>
                </c:pt>
                <c:pt idx="14">
                  <c:v>458068.55597</c:v>
                </c:pt>
                <c:pt idx="15">
                  <c:v>414293.70952</c:v>
                </c:pt>
                <c:pt idx="16">
                  <c:v>377658.09671</c:v>
                </c:pt>
                <c:pt idx="17">
                  <c:v>322050.88404</c:v>
                </c:pt>
                <c:pt idx="18">
                  <c:v>303428.33762</c:v>
                </c:pt>
                <c:pt idx="19">
                  <c:v>295897.78235</c:v>
                </c:pt>
                <c:pt idx="20">
                  <c:v>277219.33284</c:v>
                </c:pt>
                <c:pt idx="21">
                  <c:v>243318.88097</c:v>
                </c:pt>
                <c:pt idx="22">
                  <c:v>231144.27876</c:v>
                </c:pt>
                <c:pt idx="23">
                  <c:v>226624.30941</c:v>
                </c:pt>
                <c:pt idx="24">
                  <c:v>210239.25008</c:v>
                </c:pt>
                <c:pt idx="25">
                  <c:v>195689.44829</c:v>
                </c:pt>
                <c:pt idx="26">
                  <c:v>217203.957</c:v>
                </c:pt>
                <c:pt idx="27">
                  <c:v>226427.96685</c:v>
                </c:pt>
                <c:pt idx="28">
                  <c:v>195858.52105</c:v>
                </c:pt>
                <c:pt idx="29">
                  <c:v>203399.98424</c:v>
                </c:pt>
                <c:pt idx="30">
                  <c:v>199169.07477</c:v>
                </c:pt>
                <c:pt idx="31">
                  <c:v>201838.78819</c:v>
                </c:pt>
                <c:pt idx="32">
                  <c:v>196143.49046</c:v>
                </c:pt>
                <c:pt idx="33">
                  <c:v>219414.17429</c:v>
                </c:pt>
                <c:pt idx="34">
                  <c:v>197286.09508</c:v>
                </c:pt>
                <c:pt idx="35">
                  <c:v>204249.43851</c:v>
                </c:pt>
                <c:pt idx="36">
                  <c:v>198415.0648</c:v>
                </c:pt>
                <c:pt idx="37">
                  <c:v>208915.30129</c:v>
                </c:pt>
                <c:pt idx="38">
                  <c:v>221993.89737</c:v>
                </c:pt>
                <c:pt idx="39">
                  <c:v>232466.86406</c:v>
                </c:pt>
                <c:pt idx="40">
                  <c:v>228546.83031</c:v>
                </c:pt>
                <c:pt idx="41">
                  <c:v>252680.60331</c:v>
                </c:pt>
                <c:pt idx="42">
                  <c:v>240331.47438</c:v>
                </c:pt>
                <c:pt idx="43">
                  <c:v>243872.45791</c:v>
                </c:pt>
                <c:pt idx="44">
                  <c:v>248249.26081</c:v>
                </c:pt>
                <c:pt idx="45">
                  <c:v>244715.09473</c:v>
                </c:pt>
                <c:pt idx="46">
                  <c:v>252139.29778</c:v>
                </c:pt>
                <c:pt idx="47">
                  <c:v>251893.86958</c:v>
                </c:pt>
                <c:pt idx="48">
                  <c:v>252676.51284</c:v>
                </c:pt>
                <c:pt idx="49">
                  <c:v>256330.66604</c:v>
                </c:pt>
                <c:pt idx="50">
                  <c:v>262387.28862</c:v>
                </c:pt>
                <c:pt idx="51">
                  <c:v>248136.09114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'biomass Atlantis'!$T$3</c:f>
              <c:strCache>
                <c:ptCount val="1"/>
                <c:pt idx="0">
                  <c:v>Amackerel</c:v>
                </c:pt>
              </c:strCache>
            </c:strRef>
          </c:tx>
          <c:marker>
            <c:symbol val="none"/>
          </c:marker>
          <c:val>
            <c:numRef>
              <c:f>'biomass Atlantis'!$T$4:$T$55</c:f>
              <c:numCache>
                <c:formatCode>General</c:formatCode>
                <c:ptCount val="52"/>
                <c:pt idx="0" formatCode="0.00E+00">
                  <c:v>2.13694E6</c:v>
                </c:pt>
                <c:pt idx="1">
                  <c:v>2.66025309966E6</c:v>
                </c:pt>
                <c:pt idx="2">
                  <c:v>2.08321091758E6</c:v>
                </c:pt>
                <c:pt idx="3">
                  <c:v>2.58313093506E6</c:v>
                </c:pt>
                <c:pt idx="4">
                  <c:v>2.82512443148E6</c:v>
                </c:pt>
                <c:pt idx="5">
                  <c:v>2.06795530292E6</c:v>
                </c:pt>
                <c:pt idx="6">
                  <c:v>1.52165727662E6</c:v>
                </c:pt>
                <c:pt idx="7">
                  <c:v>1.6245552115E6</c:v>
                </c:pt>
                <c:pt idx="8">
                  <c:v>1.54410583132E6</c:v>
                </c:pt>
                <c:pt idx="9">
                  <c:v>1.41431878042E6</c:v>
                </c:pt>
                <c:pt idx="10">
                  <c:v>1.3056382859E6</c:v>
                </c:pt>
                <c:pt idx="11">
                  <c:v>813131.31328</c:v>
                </c:pt>
                <c:pt idx="12">
                  <c:v>516919.37518</c:v>
                </c:pt>
                <c:pt idx="13">
                  <c:v>436598.2114</c:v>
                </c:pt>
                <c:pt idx="14">
                  <c:v>669578.0948999999</c:v>
                </c:pt>
                <c:pt idx="15">
                  <c:v>1.05639415206E6</c:v>
                </c:pt>
                <c:pt idx="16">
                  <c:v>1.00219066896E6</c:v>
                </c:pt>
                <c:pt idx="17">
                  <c:v>905406.51942</c:v>
                </c:pt>
                <c:pt idx="18">
                  <c:v>1.09948341022E6</c:v>
                </c:pt>
                <c:pt idx="19">
                  <c:v>1.97053861914E6</c:v>
                </c:pt>
                <c:pt idx="20">
                  <c:v>2.8533384503E6</c:v>
                </c:pt>
                <c:pt idx="21">
                  <c:v>2.44346908442E6</c:v>
                </c:pt>
                <c:pt idx="22">
                  <c:v>3.45033965198E6</c:v>
                </c:pt>
                <c:pt idx="23">
                  <c:v>2.77744716314E6</c:v>
                </c:pt>
                <c:pt idx="24">
                  <c:v>2.40025588374E6</c:v>
                </c:pt>
                <c:pt idx="25">
                  <c:v>2.07230183888E6</c:v>
                </c:pt>
                <c:pt idx="26">
                  <c:v>2.78581755712E6</c:v>
                </c:pt>
                <c:pt idx="27">
                  <c:v>2.44411871418E6</c:v>
                </c:pt>
                <c:pt idx="28">
                  <c:v>2.01573490014E6</c:v>
                </c:pt>
                <c:pt idx="29">
                  <c:v>2.78788825198E6</c:v>
                </c:pt>
                <c:pt idx="30">
                  <c:v>2.10093683488E6</c:v>
                </c:pt>
                <c:pt idx="31">
                  <c:v>1.8298189832E6</c:v>
                </c:pt>
                <c:pt idx="32">
                  <c:v>2.53546648836E6</c:v>
                </c:pt>
                <c:pt idx="33">
                  <c:v>3.13015124708E6</c:v>
                </c:pt>
                <c:pt idx="34">
                  <c:v>2.54263378512E6</c:v>
                </c:pt>
                <c:pt idx="35">
                  <c:v>3.42802999838E6</c:v>
                </c:pt>
                <c:pt idx="36">
                  <c:v>3.3288076003E6</c:v>
                </c:pt>
                <c:pt idx="37">
                  <c:v>4.0099144865E6</c:v>
                </c:pt>
                <c:pt idx="38">
                  <c:v>3.14951192348E6</c:v>
                </c:pt>
                <c:pt idx="39">
                  <c:v>3.9556575799E6</c:v>
                </c:pt>
                <c:pt idx="40">
                  <c:v>2.98202711404E6</c:v>
                </c:pt>
                <c:pt idx="41">
                  <c:v>3.0217934305E6</c:v>
                </c:pt>
                <c:pt idx="42">
                  <c:v>3.51101592634E6</c:v>
                </c:pt>
                <c:pt idx="43">
                  <c:v>2.63764000058E6</c:v>
                </c:pt>
                <c:pt idx="44">
                  <c:v>3.38094252548E6</c:v>
                </c:pt>
                <c:pt idx="45">
                  <c:v>3.96091872618E6</c:v>
                </c:pt>
                <c:pt idx="46">
                  <c:v>4.5539366717E6</c:v>
                </c:pt>
                <c:pt idx="47">
                  <c:v>5.23708860948E6</c:v>
                </c:pt>
                <c:pt idx="48">
                  <c:v>5.79364394778E6</c:v>
                </c:pt>
                <c:pt idx="49">
                  <c:v>6.42093413702E6</c:v>
                </c:pt>
                <c:pt idx="50">
                  <c:v>4.92142196962E6</c:v>
                </c:pt>
                <c:pt idx="51">
                  <c:v>4.92502271352E6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'biomass Atlantis'!$U$3</c:f>
              <c:strCache>
                <c:ptCount val="1"/>
                <c:pt idx="0">
                  <c:v>Sea raven</c:v>
                </c:pt>
              </c:strCache>
            </c:strRef>
          </c:tx>
          <c:marker>
            <c:symbol val="none"/>
          </c:marker>
          <c:val>
            <c:numRef>
              <c:f>'biomass Atlantis'!$U$4:$U$55</c:f>
              <c:numCache>
                <c:formatCode>General</c:formatCode>
                <c:ptCount val="52"/>
                <c:pt idx="0">
                  <c:v>328326.0</c:v>
                </c:pt>
                <c:pt idx="1">
                  <c:v>416363.990292</c:v>
                </c:pt>
                <c:pt idx="2">
                  <c:v>498347.320818</c:v>
                </c:pt>
                <c:pt idx="3">
                  <c:v>526760.652858</c:v>
                </c:pt>
                <c:pt idx="4">
                  <c:v>520343.8495140001</c:v>
                </c:pt>
                <c:pt idx="5">
                  <c:v>506043.282258</c:v>
                </c:pt>
                <c:pt idx="6">
                  <c:v>491106.74754</c:v>
                </c:pt>
                <c:pt idx="7">
                  <c:v>474229.14951</c:v>
                </c:pt>
                <c:pt idx="8">
                  <c:v>454509.88995</c:v>
                </c:pt>
                <c:pt idx="9">
                  <c:v>433377.18696</c:v>
                </c:pt>
                <c:pt idx="10">
                  <c:v>412889.972886</c:v>
                </c:pt>
                <c:pt idx="11">
                  <c:v>391450.941738</c:v>
                </c:pt>
                <c:pt idx="12">
                  <c:v>370987.03881</c:v>
                </c:pt>
                <c:pt idx="13">
                  <c:v>351422.09247</c:v>
                </c:pt>
                <c:pt idx="14">
                  <c:v>334103.552622</c:v>
                </c:pt>
                <c:pt idx="15">
                  <c:v>315694.313802</c:v>
                </c:pt>
                <c:pt idx="16">
                  <c:v>297632.772216</c:v>
                </c:pt>
                <c:pt idx="17">
                  <c:v>280653.393126</c:v>
                </c:pt>
                <c:pt idx="18">
                  <c:v>264353.648856</c:v>
                </c:pt>
                <c:pt idx="19">
                  <c:v>249767.43798</c:v>
                </c:pt>
                <c:pt idx="20">
                  <c:v>234390.946422</c:v>
                </c:pt>
                <c:pt idx="21">
                  <c:v>220687.60416</c:v>
                </c:pt>
                <c:pt idx="22">
                  <c:v>207122.158818</c:v>
                </c:pt>
                <c:pt idx="23">
                  <c:v>194533.483326</c:v>
                </c:pt>
                <c:pt idx="24">
                  <c:v>182048.230524</c:v>
                </c:pt>
                <c:pt idx="25">
                  <c:v>172028.377656</c:v>
                </c:pt>
                <c:pt idx="26">
                  <c:v>168231.615792</c:v>
                </c:pt>
                <c:pt idx="27">
                  <c:v>166942.607916</c:v>
                </c:pt>
                <c:pt idx="28">
                  <c:v>165988.820886</c:v>
                </c:pt>
                <c:pt idx="29">
                  <c:v>163231.210812</c:v>
                </c:pt>
                <c:pt idx="30">
                  <c:v>160451.602896</c:v>
                </c:pt>
                <c:pt idx="31">
                  <c:v>159474.176394</c:v>
                </c:pt>
                <c:pt idx="32">
                  <c:v>159976.8435</c:v>
                </c:pt>
                <c:pt idx="33">
                  <c:v>160129.186764</c:v>
                </c:pt>
                <c:pt idx="34">
                  <c:v>159444.95538</c:v>
                </c:pt>
                <c:pt idx="35">
                  <c:v>161306.892126</c:v>
                </c:pt>
                <c:pt idx="36">
                  <c:v>163833.03237</c:v>
                </c:pt>
                <c:pt idx="37">
                  <c:v>167240.727924</c:v>
                </c:pt>
                <c:pt idx="38">
                  <c:v>171958.772544</c:v>
                </c:pt>
                <c:pt idx="39">
                  <c:v>177189.662376</c:v>
                </c:pt>
                <c:pt idx="40">
                  <c:v>181711.696374</c:v>
                </c:pt>
                <c:pt idx="41">
                  <c:v>184928.306196</c:v>
                </c:pt>
                <c:pt idx="42">
                  <c:v>188439.42444</c:v>
                </c:pt>
                <c:pt idx="43">
                  <c:v>192583.883538</c:v>
                </c:pt>
                <c:pt idx="44">
                  <c:v>196685.660256</c:v>
                </c:pt>
                <c:pt idx="45">
                  <c:v>200432.844894</c:v>
                </c:pt>
                <c:pt idx="46">
                  <c:v>202392.622788</c:v>
                </c:pt>
                <c:pt idx="47">
                  <c:v>205102.297266</c:v>
                </c:pt>
                <c:pt idx="48">
                  <c:v>207425.203716</c:v>
                </c:pt>
                <c:pt idx="49">
                  <c:v>210427.744986</c:v>
                </c:pt>
                <c:pt idx="50">
                  <c:v>212535.26958</c:v>
                </c:pt>
                <c:pt idx="51">
                  <c:v>196903.340394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'biomass Atlantis'!$V$3</c:f>
              <c:strCache>
                <c:ptCount val="1"/>
                <c:pt idx="0">
                  <c:v>Sandlance</c:v>
                </c:pt>
              </c:strCache>
            </c:strRef>
          </c:tx>
          <c:marker>
            <c:symbol val="none"/>
          </c:marker>
          <c:val>
            <c:numRef>
              <c:f>'biomass Atlantis'!$V$4:$V$55</c:f>
              <c:numCache>
                <c:formatCode>General</c:formatCode>
                <c:ptCount val="52"/>
                <c:pt idx="0" formatCode="0.00E+00">
                  <c:v>1.97553E6</c:v>
                </c:pt>
                <c:pt idx="1">
                  <c:v>2.4037853934E6</c:v>
                </c:pt>
                <c:pt idx="2">
                  <c:v>2.68165751661E6</c:v>
                </c:pt>
                <c:pt idx="3">
                  <c:v>2.85424376847E6</c:v>
                </c:pt>
                <c:pt idx="4">
                  <c:v>2.90020052286E6</c:v>
                </c:pt>
                <c:pt idx="5">
                  <c:v>2.8894891992E6</c:v>
                </c:pt>
                <c:pt idx="6">
                  <c:v>2.83158443937E6</c:v>
                </c:pt>
                <c:pt idx="7">
                  <c:v>2.77587054231E6</c:v>
                </c:pt>
                <c:pt idx="8">
                  <c:v>2.70461317521E6</c:v>
                </c:pt>
                <c:pt idx="9">
                  <c:v>2.64569694402E6</c:v>
                </c:pt>
                <c:pt idx="10">
                  <c:v>2.55648596028E6</c:v>
                </c:pt>
                <c:pt idx="11">
                  <c:v>2.479487703E6</c:v>
                </c:pt>
                <c:pt idx="12">
                  <c:v>2.3875860474E6</c:v>
                </c:pt>
                <c:pt idx="13">
                  <c:v>2.28796402056E6</c:v>
                </c:pt>
                <c:pt idx="14">
                  <c:v>2.18143356531E6</c:v>
                </c:pt>
                <c:pt idx="15">
                  <c:v>2.06476864116E6</c:v>
                </c:pt>
                <c:pt idx="16">
                  <c:v>1.92756018054E6</c:v>
                </c:pt>
                <c:pt idx="17">
                  <c:v>1.78443500757E6</c:v>
                </c:pt>
                <c:pt idx="18">
                  <c:v>1.6372599981E6</c:v>
                </c:pt>
                <c:pt idx="19">
                  <c:v>1.50432263334E6</c:v>
                </c:pt>
                <c:pt idx="20">
                  <c:v>1.38498679263E6</c:v>
                </c:pt>
                <c:pt idx="21">
                  <c:v>1.27148074095E6</c:v>
                </c:pt>
                <c:pt idx="22">
                  <c:v>1.16037298269E6</c:v>
                </c:pt>
                <c:pt idx="23">
                  <c:v>1.06023336699E6</c:v>
                </c:pt>
                <c:pt idx="24">
                  <c:v>963274.35459</c:v>
                </c:pt>
                <c:pt idx="25">
                  <c:v>889685.86209</c:v>
                </c:pt>
                <c:pt idx="26">
                  <c:v>857137.02981</c:v>
                </c:pt>
                <c:pt idx="27">
                  <c:v>840153.3983999999</c:v>
                </c:pt>
                <c:pt idx="28">
                  <c:v>824313.59886</c:v>
                </c:pt>
                <c:pt idx="29">
                  <c:v>810923.45652</c:v>
                </c:pt>
                <c:pt idx="30">
                  <c:v>798355.13466</c:v>
                </c:pt>
                <c:pt idx="31">
                  <c:v>787918.40967</c:v>
                </c:pt>
                <c:pt idx="32">
                  <c:v>778593.90807</c:v>
                </c:pt>
                <c:pt idx="33">
                  <c:v>773888.1956100001</c:v>
                </c:pt>
                <c:pt idx="34">
                  <c:v>768996.78333</c:v>
                </c:pt>
                <c:pt idx="35">
                  <c:v>769640.80611</c:v>
                </c:pt>
                <c:pt idx="36">
                  <c:v>779245.83297</c:v>
                </c:pt>
                <c:pt idx="37">
                  <c:v>795804.72543</c:v>
                </c:pt>
                <c:pt idx="38">
                  <c:v>824102.21715</c:v>
                </c:pt>
                <c:pt idx="39">
                  <c:v>859452.35097</c:v>
                </c:pt>
                <c:pt idx="40">
                  <c:v>885189.55581</c:v>
                </c:pt>
                <c:pt idx="41">
                  <c:v>912005.40003</c:v>
                </c:pt>
                <c:pt idx="42">
                  <c:v>940044.0973199999</c:v>
                </c:pt>
                <c:pt idx="43">
                  <c:v>965105.6709</c:v>
                </c:pt>
                <c:pt idx="44">
                  <c:v>983163.9906299999</c:v>
                </c:pt>
                <c:pt idx="45">
                  <c:v>1.00813468983E6</c:v>
                </c:pt>
                <c:pt idx="46">
                  <c:v>1.02699112368E6</c:v>
                </c:pt>
                <c:pt idx="47">
                  <c:v>1.05008506938E6</c:v>
                </c:pt>
                <c:pt idx="48">
                  <c:v>1.0725942582E6</c:v>
                </c:pt>
                <c:pt idx="49">
                  <c:v>1.10255514618E6</c:v>
                </c:pt>
                <c:pt idx="50">
                  <c:v>1.12761474423E6</c:v>
                </c:pt>
                <c:pt idx="51">
                  <c:v>1.12039813314E6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564920"/>
        <c:axId val="2068567864"/>
      </c:lineChart>
      <c:catAx>
        <c:axId val="2068564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68567864"/>
        <c:crosses val="autoZero"/>
        <c:auto val="1"/>
        <c:lblAlgn val="ctr"/>
        <c:lblOffset val="100"/>
        <c:noMultiLvlLbl val="0"/>
      </c:catAx>
      <c:valAx>
        <c:axId val="2068567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8564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'biomass SAs'!$E$7:$E$54</c:f>
              <c:numCache>
                <c:formatCode>General</c:formatCode>
                <c:ptCount val="48"/>
                <c:pt idx="0">
                  <c:v>167402.0</c:v>
                </c:pt>
                <c:pt idx="1">
                  <c:v>217565.0</c:v>
                </c:pt>
                <c:pt idx="2">
                  <c:v>186839.0</c:v>
                </c:pt>
                <c:pt idx="3">
                  <c:v>106435.0</c:v>
                </c:pt>
                <c:pt idx="4">
                  <c:v>71846.0</c:v>
                </c:pt>
                <c:pt idx="5">
                  <c:v>47766.0</c:v>
                </c:pt>
                <c:pt idx="6">
                  <c:v>34913.0</c:v>
                </c:pt>
                <c:pt idx="7">
                  <c:v>24771.0</c:v>
                </c:pt>
                <c:pt idx="8">
                  <c:v>23222.0</c:v>
                </c:pt>
                <c:pt idx="9">
                  <c:v>15889.0</c:v>
                </c:pt>
                <c:pt idx="10">
                  <c:v>29695.0</c:v>
                </c:pt>
                <c:pt idx="11">
                  <c:v>22061.0</c:v>
                </c:pt>
                <c:pt idx="12">
                  <c:v>28598.0</c:v>
                </c:pt>
                <c:pt idx="13">
                  <c:v>49855.0</c:v>
                </c:pt>
                <c:pt idx="14">
                  <c:v>76793.0</c:v>
                </c:pt>
                <c:pt idx="15">
                  <c:v>72409.0</c:v>
                </c:pt>
                <c:pt idx="16">
                  <c:v>71227.0</c:v>
                </c:pt>
                <c:pt idx="17">
                  <c:v>61538.0</c:v>
                </c:pt>
                <c:pt idx="18">
                  <c:v>49505.0</c:v>
                </c:pt>
                <c:pt idx="19">
                  <c:v>38684.0</c:v>
                </c:pt>
                <c:pt idx="20">
                  <c:v>26978.0</c:v>
                </c:pt>
                <c:pt idx="21">
                  <c:v>20041.0</c:v>
                </c:pt>
                <c:pt idx="22">
                  <c:v>21010.0</c:v>
                </c:pt>
                <c:pt idx="23">
                  <c:v>20829.0</c:v>
                </c:pt>
                <c:pt idx="24">
                  <c:v>19764.0</c:v>
                </c:pt>
                <c:pt idx="25">
                  <c:v>20525.0</c:v>
                </c:pt>
                <c:pt idx="26">
                  <c:v>24361.0</c:v>
                </c:pt>
                <c:pt idx="27">
                  <c:v>22019.0</c:v>
                </c:pt>
                <c:pt idx="28">
                  <c:v>16501.0</c:v>
                </c:pt>
                <c:pt idx="29">
                  <c:v>14836.0</c:v>
                </c:pt>
                <c:pt idx="30">
                  <c:v>20257.0</c:v>
                </c:pt>
                <c:pt idx="31">
                  <c:v>26749.0</c:v>
                </c:pt>
                <c:pt idx="32">
                  <c:v>35643.0</c:v>
                </c:pt>
                <c:pt idx="33">
                  <c:v>43585.0</c:v>
                </c:pt>
                <c:pt idx="34">
                  <c:v>50807.0</c:v>
                </c:pt>
                <c:pt idx="35">
                  <c:v>59528.0</c:v>
                </c:pt>
                <c:pt idx="36">
                  <c:v>73600.0</c:v>
                </c:pt>
                <c:pt idx="37">
                  <c:v>87872.0</c:v>
                </c:pt>
                <c:pt idx="38">
                  <c:v>100258.0</c:v>
                </c:pt>
                <c:pt idx="39">
                  <c:v>119310.0</c:v>
                </c:pt>
                <c:pt idx="40">
                  <c:v>108126.0</c:v>
                </c:pt>
                <c:pt idx="41">
                  <c:v>126290.0</c:v>
                </c:pt>
                <c:pt idx="42">
                  <c:v>225173.0</c:v>
                </c:pt>
                <c:pt idx="43">
                  <c:v>252065.0</c:v>
                </c:pt>
                <c:pt idx="44">
                  <c:v>238744.0</c:v>
                </c:pt>
                <c:pt idx="45">
                  <c:v>210557.0</c:v>
                </c:pt>
                <c:pt idx="46">
                  <c:v>167279.0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'biomass SAs'!$F$7:$F$54</c:f>
              <c:numCache>
                <c:formatCode>General</c:formatCode>
                <c:ptCount val="48"/>
                <c:pt idx="0">
                  <c:v>447882.0</c:v>
                </c:pt>
                <c:pt idx="1">
                  <c:v>427380.0</c:v>
                </c:pt>
                <c:pt idx="2">
                  <c:v>265251.0</c:v>
                </c:pt>
                <c:pt idx="3">
                  <c:v>137889.0</c:v>
                </c:pt>
                <c:pt idx="4">
                  <c:v>91654.0</c:v>
                </c:pt>
                <c:pt idx="5">
                  <c:v>57663.0</c:v>
                </c:pt>
                <c:pt idx="6">
                  <c:v>43090.0</c:v>
                </c:pt>
                <c:pt idx="7">
                  <c:v>31422.0</c:v>
                </c:pt>
                <c:pt idx="8">
                  <c:v>30466.0</c:v>
                </c:pt>
                <c:pt idx="9">
                  <c:v>29102.0</c:v>
                </c:pt>
                <c:pt idx="10">
                  <c:v>44728.0</c:v>
                </c:pt>
                <c:pt idx="11">
                  <c:v>32703.0</c:v>
                </c:pt>
                <c:pt idx="12">
                  <c:v>68128.0</c:v>
                </c:pt>
                <c:pt idx="13">
                  <c:v>94994.0</c:v>
                </c:pt>
                <c:pt idx="14">
                  <c:v>99301.0</c:v>
                </c:pt>
                <c:pt idx="15">
                  <c:v>116118.0</c:v>
                </c:pt>
                <c:pt idx="16">
                  <c:v>115195.0</c:v>
                </c:pt>
                <c:pt idx="17">
                  <c:v>79618.0</c:v>
                </c:pt>
                <c:pt idx="18">
                  <c:v>59318.0</c:v>
                </c:pt>
                <c:pt idx="19">
                  <c:v>45588.0</c:v>
                </c:pt>
                <c:pt idx="20">
                  <c:v>35613.0</c:v>
                </c:pt>
                <c:pt idx="21">
                  <c:v>27942.0</c:v>
                </c:pt>
                <c:pt idx="22">
                  <c:v>30619.0</c:v>
                </c:pt>
                <c:pt idx="23">
                  <c:v>28831.0</c:v>
                </c:pt>
                <c:pt idx="24">
                  <c:v>29506.0</c:v>
                </c:pt>
                <c:pt idx="25">
                  <c:v>28873.0</c:v>
                </c:pt>
                <c:pt idx="26">
                  <c:v>30422.0</c:v>
                </c:pt>
                <c:pt idx="27">
                  <c:v>27778.0</c:v>
                </c:pt>
                <c:pt idx="28">
                  <c:v>24534.0</c:v>
                </c:pt>
                <c:pt idx="29">
                  <c:v>28319.0</c:v>
                </c:pt>
                <c:pt idx="30">
                  <c:v>33497.0</c:v>
                </c:pt>
                <c:pt idx="31">
                  <c:v>37379.0</c:v>
                </c:pt>
                <c:pt idx="32">
                  <c:v>46797.0</c:v>
                </c:pt>
                <c:pt idx="33">
                  <c:v>57313.0</c:v>
                </c:pt>
                <c:pt idx="34">
                  <c:v>67047.0</c:v>
                </c:pt>
                <c:pt idx="35">
                  <c:v>94876.0</c:v>
                </c:pt>
                <c:pt idx="36">
                  <c:v>105017.0</c:v>
                </c:pt>
                <c:pt idx="37">
                  <c:v>122822.0</c:v>
                </c:pt>
                <c:pt idx="38">
                  <c:v>134118.0</c:v>
                </c:pt>
                <c:pt idx="39">
                  <c:v>136169.0</c:v>
                </c:pt>
                <c:pt idx="40">
                  <c:v>170384.0</c:v>
                </c:pt>
                <c:pt idx="41">
                  <c:v>202093.0</c:v>
                </c:pt>
                <c:pt idx="42">
                  <c:v>262027.0</c:v>
                </c:pt>
                <c:pt idx="43">
                  <c:v>275473.0</c:v>
                </c:pt>
                <c:pt idx="44">
                  <c:v>260918.0</c:v>
                </c:pt>
                <c:pt idx="45">
                  <c:v>232338.0</c:v>
                </c:pt>
                <c:pt idx="46">
                  <c:v>185601.0</c:v>
                </c:pt>
                <c:pt idx="47">
                  <c:v>301991.05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'biomass SAs'!$G$7:$G$54</c:f>
              <c:numCache>
                <c:formatCode>General</c:formatCode>
                <c:ptCount val="48"/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'biomass SAs'!$H$7:$H$54</c:f>
              <c:numCache>
                <c:formatCode>General</c:formatCode>
                <c:ptCount val="48"/>
                <c:pt idx="0" formatCode="0.00E+00">
                  <c:v>1.55912E7</c:v>
                </c:pt>
                <c:pt idx="1">
                  <c:v>8.4455815368E6</c:v>
                </c:pt>
                <c:pt idx="2">
                  <c:v>6.8836395296E6</c:v>
                </c:pt>
                <c:pt idx="3">
                  <c:v>5.9188560736E6</c:v>
                </c:pt>
                <c:pt idx="4">
                  <c:v>5.2222880312E6</c:v>
                </c:pt>
                <c:pt idx="5">
                  <c:v>4.6225725232E6</c:v>
                </c:pt>
                <c:pt idx="6">
                  <c:v>4.17727226E6</c:v>
                </c:pt>
                <c:pt idx="7">
                  <c:v>3.7827993088E6</c:v>
                </c:pt>
                <c:pt idx="8">
                  <c:v>3.4625872432E6</c:v>
                </c:pt>
                <c:pt idx="9">
                  <c:v>3.1997507936E6</c:v>
                </c:pt>
                <c:pt idx="10">
                  <c:v>2.969577908E6</c:v>
                </c:pt>
                <c:pt idx="11">
                  <c:v>2.769620768E6</c:v>
                </c:pt>
                <c:pt idx="12">
                  <c:v>2.5628658648E6</c:v>
                </c:pt>
                <c:pt idx="13">
                  <c:v>2.3664011536E6</c:v>
                </c:pt>
                <c:pt idx="14">
                  <c:v>2.1942119408E6</c:v>
                </c:pt>
                <c:pt idx="15">
                  <c:v>2.0069304464E6</c:v>
                </c:pt>
                <c:pt idx="16">
                  <c:v>1.8418196384E6</c:v>
                </c:pt>
                <c:pt idx="17">
                  <c:v>1.6858452736E6</c:v>
                </c:pt>
                <c:pt idx="18">
                  <c:v>1.5193156664E6</c:v>
                </c:pt>
                <c:pt idx="19">
                  <c:v>1.346066252E6</c:v>
                </c:pt>
                <c:pt idx="20">
                  <c:v>1.1666583136E6</c:v>
                </c:pt>
                <c:pt idx="21">
                  <c:v>1.0202257632E6</c:v>
                </c:pt>
                <c:pt idx="22">
                  <c:v>855224.0936</c:v>
                </c:pt>
                <c:pt idx="23">
                  <c:v>720173.1192000001</c:v>
                </c:pt>
                <c:pt idx="24">
                  <c:v>582471.6408</c:v>
                </c:pt>
                <c:pt idx="25">
                  <c:v>472304.2216</c:v>
                </c:pt>
                <c:pt idx="26">
                  <c:v>430130.0256</c:v>
                </c:pt>
                <c:pt idx="27">
                  <c:v>411155.5352</c:v>
                </c:pt>
                <c:pt idx="28">
                  <c:v>389327.8552</c:v>
                </c:pt>
                <c:pt idx="29">
                  <c:v>370041.5408</c:v>
                </c:pt>
                <c:pt idx="30">
                  <c:v>342710.1672</c:v>
                </c:pt>
                <c:pt idx="31">
                  <c:v>323673.312</c:v>
                </c:pt>
                <c:pt idx="32">
                  <c:v>301050.4808</c:v>
                </c:pt>
                <c:pt idx="33">
                  <c:v>287829.1432</c:v>
                </c:pt>
                <c:pt idx="34">
                  <c:v>267124.0296</c:v>
                </c:pt>
                <c:pt idx="35">
                  <c:v>258782.7376</c:v>
                </c:pt>
                <c:pt idx="36">
                  <c:v>259546.7064</c:v>
                </c:pt>
                <c:pt idx="37">
                  <c:v>276478.7496</c:v>
                </c:pt>
                <c:pt idx="38">
                  <c:v>302874.6512</c:v>
                </c:pt>
                <c:pt idx="39">
                  <c:v>346545.6024</c:v>
                </c:pt>
                <c:pt idx="40">
                  <c:v>394847.14</c:v>
                </c:pt>
                <c:pt idx="41">
                  <c:v>433622.4544</c:v>
                </c:pt>
                <c:pt idx="42">
                  <c:v>482953.0112</c:v>
                </c:pt>
                <c:pt idx="43">
                  <c:v>538099.0856</c:v>
                </c:pt>
                <c:pt idx="44">
                  <c:v>594398.9088</c:v>
                </c:pt>
                <c:pt idx="45">
                  <c:v>654471.8024</c:v>
                </c:pt>
                <c:pt idx="46">
                  <c:v>713936.6392</c:v>
                </c:pt>
                <c:pt idx="47">
                  <c:v>745711.5048000001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614296"/>
        <c:axId val="2068617352"/>
      </c:lineChart>
      <c:catAx>
        <c:axId val="2068614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8617352"/>
        <c:crosses val="autoZero"/>
        <c:auto val="1"/>
        <c:lblAlgn val="ctr"/>
        <c:lblOffset val="100"/>
        <c:noMultiLvlLbl val="0"/>
      </c:catAx>
      <c:valAx>
        <c:axId val="2068617352"/>
        <c:scaling>
          <c:orientation val="minMax"/>
          <c:max val="2.0E6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8614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'catch Atlantis'!$A$4:$A$54</c:f>
              <c:numCache>
                <c:formatCode>General</c:formatCode>
                <c:ptCount val="51"/>
                <c:pt idx="0">
                  <c:v>1964.0</c:v>
                </c:pt>
                <c:pt idx="1">
                  <c:v>1965.0</c:v>
                </c:pt>
                <c:pt idx="2">
                  <c:v>1966.0</c:v>
                </c:pt>
                <c:pt idx="3">
                  <c:v>1967.0</c:v>
                </c:pt>
                <c:pt idx="4">
                  <c:v>1968.0</c:v>
                </c:pt>
                <c:pt idx="5">
                  <c:v>1969.0</c:v>
                </c:pt>
                <c:pt idx="6">
                  <c:v>1970.0</c:v>
                </c:pt>
                <c:pt idx="7">
                  <c:v>1971.0</c:v>
                </c:pt>
                <c:pt idx="8">
                  <c:v>1972.0</c:v>
                </c:pt>
                <c:pt idx="9">
                  <c:v>1973.0</c:v>
                </c:pt>
                <c:pt idx="10">
                  <c:v>1974.0</c:v>
                </c:pt>
                <c:pt idx="11">
                  <c:v>1975.0</c:v>
                </c:pt>
                <c:pt idx="12">
                  <c:v>1976.0</c:v>
                </c:pt>
                <c:pt idx="13">
                  <c:v>1977.0</c:v>
                </c:pt>
                <c:pt idx="14">
                  <c:v>1978.0</c:v>
                </c:pt>
                <c:pt idx="15">
                  <c:v>1979.0</c:v>
                </c:pt>
                <c:pt idx="16">
                  <c:v>1980.0</c:v>
                </c:pt>
                <c:pt idx="17">
                  <c:v>1981.0</c:v>
                </c:pt>
                <c:pt idx="18">
                  <c:v>1982.0</c:v>
                </c:pt>
                <c:pt idx="19">
                  <c:v>1983.0</c:v>
                </c:pt>
                <c:pt idx="20">
                  <c:v>1984.0</c:v>
                </c:pt>
                <c:pt idx="21">
                  <c:v>1985.0</c:v>
                </c:pt>
                <c:pt idx="22">
                  <c:v>1986.0</c:v>
                </c:pt>
                <c:pt idx="23">
                  <c:v>1987.0</c:v>
                </c:pt>
                <c:pt idx="24">
                  <c:v>1988.0</c:v>
                </c:pt>
                <c:pt idx="25">
                  <c:v>1989.0</c:v>
                </c:pt>
                <c:pt idx="26">
                  <c:v>1990.0</c:v>
                </c:pt>
                <c:pt idx="27">
                  <c:v>1991.0</c:v>
                </c:pt>
                <c:pt idx="28">
                  <c:v>1992.0</c:v>
                </c:pt>
                <c:pt idx="29">
                  <c:v>1993.0</c:v>
                </c:pt>
                <c:pt idx="30">
                  <c:v>1994.0</c:v>
                </c:pt>
                <c:pt idx="31">
                  <c:v>1995.0</c:v>
                </c:pt>
                <c:pt idx="32">
                  <c:v>1996.0</c:v>
                </c:pt>
                <c:pt idx="33">
                  <c:v>1997.0</c:v>
                </c:pt>
                <c:pt idx="34">
                  <c:v>1998.0</c:v>
                </c:pt>
                <c:pt idx="35">
                  <c:v>1999.0</c:v>
                </c:pt>
                <c:pt idx="36">
                  <c:v>2000.0</c:v>
                </c:pt>
                <c:pt idx="37">
                  <c:v>2001.0</c:v>
                </c:pt>
                <c:pt idx="38">
                  <c:v>2002.0</c:v>
                </c:pt>
                <c:pt idx="39">
                  <c:v>2003.0</c:v>
                </c:pt>
                <c:pt idx="40">
                  <c:v>2004.0</c:v>
                </c:pt>
                <c:pt idx="41">
                  <c:v>2005.0</c:v>
                </c:pt>
                <c:pt idx="42">
                  <c:v>2006.0</c:v>
                </c:pt>
                <c:pt idx="43">
                  <c:v>2007.0</c:v>
                </c:pt>
                <c:pt idx="44">
                  <c:v>2008.0</c:v>
                </c:pt>
                <c:pt idx="45">
                  <c:v>2009.0</c:v>
                </c:pt>
                <c:pt idx="46">
                  <c:v>2010.0</c:v>
                </c:pt>
                <c:pt idx="47">
                  <c:v>2011.0</c:v>
                </c:pt>
                <c:pt idx="48">
                  <c:v>2012.0</c:v>
                </c:pt>
                <c:pt idx="49">
                  <c:v>2013.0</c:v>
                </c:pt>
                <c:pt idx="50">
                  <c:v>2014.0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'catch Atlantis'!$B$4:$B$54</c:f>
              <c:numCache>
                <c:formatCode>General</c:formatCode>
                <c:ptCount val="51"/>
                <c:pt idx="0">
                  <c:v>0.0</c:v>
                </c:pt>
                <c:pt idx="1">
                  <c:v>363.824892</c:v>
                </c:pt>
                <c:pt idx="2">
                  <c:v>382.0608</c:v>
                </c:pt>
                <c:pt idx="3">
                  <c:v>369.609312</c:v>
                </c:pt>
                <c:pt idx="4">
                  <c:v>434.650342</c:v>
                </c:pt>
                <c:pt idx="5">
                  <c:v>404.802091</c:v>
                </c:pt>
                <c:pt idx="6">
                  <c:v>450.566416</c:v>
                </c:pt>
                <c:pt idx="7">
                  <c:v>472.467964</c:v>
                </c:pt>
                <c:pt idx="8">
                  <c:v>520.459738</c:v>
                </c:pt>
                <c:pt idx="9">
                  <c:v>589.589142</c:v>
                </c:pt>
                <c:pt idx="10">
                  <c:v>708.996843</c:v>
                </c:pt>
                <c:pt idx="11">
                  <c:v>786.789388</c:v>
                </c:pt>
                <c:pt idx="12">
                  <c:v>881.68898</c:v>
                </c:pt>
                <c:pt idx="13">
                  <c:v>1052.626906</c:v>
                </c:pt>
                <c:pt idx="14">
                  <c:v>1153.955351</c:v>
                </c:pt>
                <c:pt idx="15">
                  <c:v>1279.376586</c:v>
                </c:pt>
                <c:pt idx="16">
                  <c:v>1446.390128</c:v>
                </c:pt>
                <c:pt idx="17">
                  <c:v>1602.715646</c:v>
                </c:pt>
                <c:pt idx="18">
                  <c:v>1706.199087</c:v>
                </c:pt>
                <c:pt idx="19">
                  <c:v>1799.847877</c:v>
                </c:pt>
                <c:pt idx="20">
                  <c:v>1881.877068</c:v>
                </c:pt>
                <c:pt idx="21">
                  <c:v>1971.083124</c:v>
                </c:pt>
                <c:pt idx="22">
                  <c:v>2335.856982</c:v>
                </c:pt>
                <c:pt idx="23">
                  <c:v>2373.187851</c:v>
                </c:pt>
                <c:pt idx="24">
                  <c:v>2373.67593</c:v>
                </c:pt>
                <c:pt idx="25">
                  <c:v>2501.811177</c:v>
                </c:pt>
                <c:pt idx="26">
                  <c:v>2536.654581</c:v>
                </c:pt>
                <c:pt idx="27">
                  <c:v>2700.265872</c:v>
                </c:pt>
                <c:pt idx="28">
                  <c:v>2944.788202</c:v>
                </c:pt>
                <c:pt idx="29">
                  <c:v>2932.593331</c:v>
                </c:pt>
                <c:pt idx="30">
                  <c:v>2795.158663</c:v>
                </c:pt>
                <c:pt idx="31">
                  <c:v>2789.849312</c:v>
                </c:pt>
                <c:pt idx="32">
                  <c:v>2868.751753</c:v>
                </c:pt>
                <c:pt idx="33">
                  <c:v>2733.927839</c:v>
                </c:pt>
                <c:pt idx="34">
                  <c:v>2861.045969</c:v>
                </c:pt>
                <c:pt idx="35">
                  <c:v>2885.672581</c:v>
                </c:pt>
                <c:pt idx="36">
                  <c:v>2971.119066</c:v>
                </c:pt>
                <c:pt idx="37">
                  <c:v>2939.512169</c:v>
                </c:pt>
                <c:pt idx="38">
                  <c:v>2873.086025</c:v>
                </c:pt>
                <c:pt idx="39">
                  <c:v>2905.894216</c:v>
                </c:pt>
                <c:pt idx="40">
                  <c:v>2770.502569</c:v>
                </c:pt>
                <c:pt idx="41">
                  <c:v>3222.897295</c:v>
                </c:pt>
                <c:pt idx="42">
                  <c:v>3693.113805</c:v>
                </c:pt>
                <c:pt idx="43">
                  <c:v>4137.173402</c:v>
                </c:pt>
                <c:pt idx="44">
                  <c:v>4343.883877</c:v>
                </c:pt>
                <c:pt idx="45">
                  <c:v>4059.635763</c:v>
                </c:pt>
                <c:pt idx="46">
                  <c:v>3797.976417</c:v>
                </c:pt>
                <c:pt idx="47">
                  <c:v>3870.888711</c:v>
                </c:pt>
                <c:pt idx="48">
                  <c:v>3822.219538</c:v>
                </c:pt>
                <c:pt idx="49">
                  <c:v>3678.592599</c:v>
                </c:pt>
                <c:pt idx="50">
                  <c:v>3957.652699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'catch Atlantis'!$C$4:$C$54</c:f>
              <c:numCache>
                <c:formatCode>General</c:formatCode>
                <c:ptCount val="51"/>
                <c:pt idx="0">
                  <c:v>0.0</c:v>
                </c:pt>
                <c:pt idx="1">
                  <c:v>2156.874322</c:v>
                </c:pt>
                <c:pt idx="2">
                  <c:v>2272.003253</c:v>
                </c:pt>
                <c:pt idx="3">
                  <c:v>2415.833696</c:v>
                </c:pt>
                <c:pt idx="4">
                  <c:v>2629.43825</c:v>
                </c:pt>
                <c:pt idx="5">
                  <c:v>2948.815341</c:v>
                </c:pt>
                <c:pt idx="6">
                  <c:v>3353.625087</c:v>
                </c:pt>
                <c:pt idx="7">
                  <c:v>3775.140742</c:v>
                </c:pt>
                <c:pt idx="8">
                  <c:v>4190.782413</c:v>
                </c:pt>
                <c:pt idx="9">
                  <c:v>4678.782429</c:v>
                </c:pt>
                <c:pt idx="10">
                  <c:v>5148.328403</c:v>
                </c:pt>
                <c:pt idx="11">
                  <c:v>5571.321296</c:v>
                </c:pt>
                <c:pt idx="12">
                  <c:v>6130.085719</c:v>
                </c:pt>
                <c:pt idx="13">
                  <c:v>6646.950817</c:v>
                </c:pt>
                <c:pt idx="14">
                  <c:v>7046.42605</c:v>
                </c:pt>
                <c:pt idx="15">
                  <c:v>7586.049784</c:v>
                </c:pt>
                <c:pt idx="16">
                  <c:v>8037.678573</c:v>
                </c:pt>
                <c:pt idx="17">
                  <c:v>8124.433277</c:v>
                </c:pt>
                <c:pt idx="18">
                  <c:v>8341.251436</c:v>
                </c:pt>
                <c:pt idx="19">
                  <c:v>8465.632309</c:v>
                </c:pt>
                <c:pt idx="20">
                  <c:v>8379.306243000001</c:v>
                </c:pt>
                <c:pt idx="21">
                  <c:v>8412.472643</c:v>
                </c:pt>
                <c:pt idx="22">
                  <c:v>8625.777806</c:v>
                </c:pt>
                <c:pt idx="23">
                  <c:v>8478.539303</c:v>
                </c:pt>
                <c:pt idx="24">
                  <c:v>8545.408525000001</c:v>
                </c:pt>
                <c:pt idx="25">
                  <c:v>8437.061073000001</c:v>
                </c:pt>
                <c:pt idx="26">
                  <c:v>7837.077191</c:v>
                </c:pt>
                <c:pt idx="27">
                  <c:v>7460.661301</c:v>
                </c:pt>
                <c:pt idx="28">
                  <c:v>7225.890161</c:v>
                </c:pt>
                <c:pt idx="29">
                  <c:v>7001.064275</c:v>
                </c:pt>
                <c:pt idx="30">
                  <c:v>6764.884472</c:v>
                </c:pt>
                <c:pt idx="31">
                  <c:v>6620.307344</c:v>
                </c:pt>
                <c:pt idx="32">
                  <c:v>6497.67423</c:v>
                </c:pt>
                <c:pt idx="33">
                  <c:v>6273.593057</c:v>
                </c:pt>
                <c:pt idx="34">
                  <c:v>6166.368561</c:v>
                </c:pt>
                <c:pt idx="35">
                  <c:v>5901.33526</c:v>
                </c:pt>
                <c:pt idx="36">
                  <c:v>5642.917144</c:v>
                </c:pt>
                <c:pt idx="37">
                  <c:v>5349.545304</c:v>
                </c:pt>
                <c:pt idx="38">
                  <c:v>5077.573406</c:v>
                </c:pt>
                <c:pt idx="39">
                  <c:v>4844.899418</c:v>
                </c:pt>
                <c:pt idx="40">
                  <c:v>4718.18571</c:v>
                </c:pt>
                <c:pt idx="41">
                  <c:v>4612.314957</c:v>
                </c:pt>
                <c:pt idx="42">
                  <c:v>4489.552791</c:v>
                </c:pt>
                <c:pt idx="43">
                  <c:v>4382.615367</c:v>
                </c:pt>
                <c:pt idx="44">
                  <c:v>4249.175539</c:v>
                </c:pt>
                <c:pt idx="45">
                  <c:v>4194.105363</c:v>
                </c:pt>
                <c:pt idx="46">
                  <c:v>4149.393142</c:v>
                </c:pt>
                <c:pt idx="47">
                  <c:v>4109.60484</c:v>
                </c:pt>
                <c:pt idx="48">
                  <c:v>4049.194176</c:v>
                </c:pt>
                <c:pt idx="49">
                  <c:v>3994.530852</c:v>
                </c:pt>
                <c:pt idx="50">
                  <c:v>3982.556577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'catch Atlantis'!$D$4:$D$54</c:f>
              <c:numCache>
                <c:formatCode>General</c:formatCode>
                <c:ptCount val="51"/>
                <c:pt idx="0">
                  <c:v>0.0</c:v>
                </c:pt>
                <c:pt idx="1">
                  <c:v>127813.948567</c:v>
                </c:pt>
                <c:pt idx="2">
                  <c:v>125055.953165</c:v>
                </c:pt>
                <c:pt idx="3">
                  <c:v>122711.004475</c:v>
                </c:pt>
                <c:pt idx="4">
                  <c:v>121424.106222</c:v>
                </c:pt>
                <c:pt idx="5">
                  <c:v>119429.820575</c:v>
                </c:pt>
                <c:pt idx="6">
                  <c:v>118440.153284</c:v>
                </c:pt>
                <c:pt idx="7">
                  <c:v>117389.132561</c:v>
                </c:pt>
                <c:pt idx="8">
                  <c:v>117154.871041</c:v>
                </c:pt>
                <c:pt idx="9">
                  <c:v>116547.378274</c:v>
                </c:pt>
                <c:pt idx="10">
                  <c:v>116246.002873</c:v>
                </c:pt>
                <c:pt idx="11">
                  <c:v>116077.440095</c:v>
                </c:pt>
                <c:pt idx="12">
                  <c:v>115916.972789</c:v>
                </c:pt>
                <c:pt idx="13">
                  <c:v>115677.694661</c:v>
                </c:pt>
                <c:pt idx="14">
                  <c:v>2587.668835</c:v>
                </c:pt>
                <c:pt idx="15">
                  <c:v>4321.472548</c:v>
                </c:pt>
                <c:pt idx="16">
                  <c:v>6650.07637</c:v>
                </c:pt>
                <c:pt idx="17">
                  <c:v>8049.681526</c:v>
                </c:pt>
                <c:pt idx="18">
                  <c:v>8463.878452</c:v>
                </c:pt>
                <c:pt idx="19">
                  <c:v>8581.114097</c:v>
                </c:pt>
                <c:pt idx="20">
                  <c:v>10627.914202</c:v>
                </c:pt>
                <c:pt idx="21">
                  <c:v>12251.238254</c:v>
                </c:pt>
                <c:pt idx="22">
                  <c:v>14365.99973</c:v>
                </c:pt>
                <c:pt idx="23">
                  <c:v>16860.187545</c:v>
                </c:pt>
                <c:pt idx="24">
                  <c:v>18093.351013</c:v>
                </c:pt>
                <c:pt idx="25">
                  <c:v>19331.245338</c:v>
                </c:pt>
                <c:pt idx="26">
                  <c:v>18014.584756</c:v>
                </c:pt>
                <c:pt idx="27">
                  <c:v>17904.841833</c:v>
                </c:pt>
                <c:pt idx="28">
                  <c:v>19099.884396</c:v>
                </c:pt>
                <c:pt idx="29">
                  <c:v>17161.454621</c:v>
                </c:pt>
                <c:pt idx="30">
                  <c:v>18268.061857</c:v>
                </c:pt>
                <c:pt idx="31">
                  <c:v>25190.581237</c:v>
                </c:pt>
                <c:pt idx="32">
                  <c:v>30951.102112</c:v>
                </c:pt>
                <c:pt idx="33">
                  <c:v>34516.366401</c:v>
                </c:pt>
                <c:pt idx="34">
                  <c:v>46409.930415</c:v>
                </c:pt>
                <c:pt idx="35">
                  <c:v>47500.126052</c:v>
                </c:pt>
                <c:pt idx="36">
                  <c:v>53171.48826</c:v>
                </c:pt>
                <c:pt idx="37">
                  <c:v>51524.889323</c:v>
                </c:pt>
                <c:pt idx="38">
                  <c:v>65926.93167400001</c:v>
                </c:pt>
                <c:pt idx="39">
                  <c:v>68600.921263</c:v>
                </c:pt>
                <c:pt idx="40">
                  <c:v>71773.226406</c:v>
                </c:pt>
                <c:pt idx="41">
                  <c:v>105211.671667</c:v>
                </c:pt>
                <c:pt idx="42">
                  <c:v>116699.25566</c:v>
                </c:pt>
                <c:pt idx="43">
                  <c:v>116302.531522</c:v>
                </c:pt>
                <c:pt idx="44">
                  <c:v>102456.475759</c:v>
                </c:pt>
                <c:pt idx="45">
                  <c:v>104221.456893</c:v>
                </c:pt>
                <c:pt idx="46">
                  <c:v>90076.083413</c:v>
                </c:pt>
                <c:pt idx="47">
                  <c:v>78181.993006</c:v>
                </c:pt>
                <c:pt idx="48">
                  <c:v>86471.90274200001</c:v>
                </c:pt>
                <c:pt idx="49">
                  <c:v>76484.708933</c:v>
                </c:pt>
                <c:pt idx="50">
                  <c:v>72211.03172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'catch Atlantis'!$E$4:$E$54</c:f>
              <c:numCache>
                <c:formatCode>General</c:formatCode>
                <c:ptCount val="51"/>
                <c:pt idx="0">
                  <c:v>0.0</c:v>
                </c:pt>
                <c:pt idx="1">
                  <c:v>18274.082931</c:v>
                </c:pt>
                <c:pt idx="2">
                  <c:v>16233.316608</c:v>
                </c:pt>
                <c:pt idx="3">
                  <c:v>16035.866803</c:v>
                </c:pt>
                <c:pt idx="4">
                  <c:v>17678.854586</c:v>
                </c:pt>
                <c:pt idx="5">
                  <c:v>20754.883984</c:v>
                </c:pt>
                <c:pt idx="6">
                  <c:v>22900.170441</c:v>
                </c:pt>
                <c:pt idx="7">
                  <c:v>23588.330795</c:v>
                </c:pt>
                <c:pt idx="8">
                  <c:v>24132.221647</c:v>
                </c:pt>
                <c:pt idx="9">
                  <c:v>24478.019195</c:v>
                </c:pt>
                <c:pt idx="10">
                  <c:v>24556.040897</c:v>
                </c:pt>
                <c:pt idx="11">
                  <c:v>24517.343147</c:v>
                </c:pt>
                <c:pt idx="12">
                  <c:v>24719.28412</c:v>
                </c:pt>
                <c:pt idx="13">
                  <c:v>24656.069428</c:v>
                </c:pt>
                <c:pt idx="14">
                  <c:v>25068.986777</c:v>
                </c:pt>
                <c:pt idx="15">
                  <c:v>25190.937774</c:v>
                </c:pt>
                <c:pt idx="16">
                  <c:v>24582.747652</c:v>
                </c:pt>
                <c:pt idx="17">
                  <c:v>23437.804094</c:v>
                </c:pt>
                <c:pt idx="18">
                  <c:v>22278.484569</c:v>
                </c:pt>
                <c:pt idx="19">
                  <c:v>20894.028245</c:v>
                </c:pt>
                <c:pt idx="20">
                  <c:v>19797.54775</c:v>
                </c:pt>
                <c:pt idx="21">
                  <c:v>18973.66046</c:v>
                </c:pt>
                <c:pt idx="22">
                  <c:v>18312.368382</c:v>
                </c:pt>
                <c:pt idx="23">
                  <c:v>17872.82155</c:v>
                </c:pt>
                <c:pt idx="24">
                  <c:v>17369.145652</c:v>
                </c:pt>
                <c:pt idx="25">
                  <c:v>16454.368129</c:v>
                </c:pt>
                <c:pt idx="26">
                  <c:v>14738.536196</c:v>
                </c:pt>
                <c:pt idx="27">
                  <c:v>13876.081139</c:v>
                </c:pt>
                <c:pt idx="28">
                  <c:v>13529.970208</c:v>
                </c:pt>
                <c:pt idx="29">
                  <c:v>12987.846363</c:v>
                </c:pt>
                <c:pt idx="30">
                  <c:v>12940.880415</c:v>
                </c:pt>
                <c:pt idx="31">
                  <c:v>12840.583185</c:v>
                </c:pt>
                <c:pt idx="32">
                  <c:v>12691.859012</c:v>
                </c:pt>
                <c:pt idx="33">
                  <c:v>12615.64759</c:v>
                </c:pt>
                <c:pt idx="34">
                  <c:v>12406.548091</c:v>
                </c:pt>
                <c:pt idx="35">
                  <c:v>12088.812813</c:v>
                </c:pt>
                <c:pt idx="36">
                  <c:v>11817.744916</c:v>
                </c:pt>
                <c:pt idx="37">
                  <c:v>11649.587937</c:v>
                </c:pt>
                <c:pt idx="38">
                  <c:v>11655.362559</c:v>
                </c:pt>
                <c:pt idx="39">
                  <c:v>11782.842565</c:v>
                </c:pt>
                <c:pt idx="40">
                  <c:v>12212.087821</c:v>
                </c:pt>
                <c:pt idx="41">
                  <c:v>12723.628692</c:v>
                </c:pt>
                <c:pt idx="42">
                  <c:v>12778.693806</c:v>
                </c:pt>
                <c:pt idx="43">
                  <c:v>12958.047314</c:v>
                </c:pt>
                <c:pt idx="44">
                  <c:v>13115.519433</c:v>
                </c:pt>
                <c:pt idx="45">
                  <c:v>13560.16453</c:v>
                </c:pt>
                <c:pt idx="46">
                  <c:v>14138.974921</c:v>
                </c:pt>
                <c:pt idx="47">
                  <c:v>14556.304953</c:v>
                </c:pt>
                <c:pt idx="48">
                  <c:v>14636.329318</c:v>
                </c:pt>
                <c:pt idx="49">
                  <c:v>14710.997042</c:v>
                </c:pt>
                <c:pt idx="50">
                  <c:v>14864.083708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'catch Atlantis'!$F$4:$F$54</c:f>
              <c:numCache>
                <c:formatCode>General</c:formatCode>
                <c:ptCount val="51"/>
                <c:pt idx="0">
                  <c:v>0.0</c:v>
                </c:pt>
                <c:pt idx="1">
                  <c:v>57204.667793</c:v>
                </c:pt>
                <c:pt idx="2">
                  <c:v>26538.516351</c:v>
                </c:pt>
                <c:pt idx="3">
                  <c:v>17264.209086</c:v>
                </c:pt>
                <c:pt idx="4">
                  <c:v>12950.621215</c:v>
                </c:pt>
                <c:pt idx="5">
                  <c:v>10401.106076</c:v>
                </c:pt>
                <c:pt idx="6">
                  <c:v>8909.764151</c:v>
                </c:pt>
                <c:pt idx="7">
                  <c:v>7915.84538</c:v>
                </c:pt>
                <c:pt idx="8">
                  <c:v>7174.492376</c:v>
                </c:pt>
                <c:pt idx="9">
                  <c:v>6635.567976</c:v>
                </c:pt>
                <c:pt idx="10">
                  <c:v>6269.407799</c:v>
                </c:pt>
                <c:pt idx="11">
                  <c:v>5952.467739</c:v>
                </c:pt>
                <c:pt idx="12">
                  <c:v>5965.415684</c:v>
                </c:pt>
                <c:pt idx="13">
                  <c:v>5759.254318</c:v>
                </c:pt>
                <c:pt idx="14">
                  <c:v>5639.000694</c:v>
                </c:pt>
                <c:pt idx="15">
                  <c:v>5567.978332</c:v>
                </c:pt>
                <c:pt idx="16">
                  <c:v>5208.691047</c:v>
                </c:pt>
                <c:pt idx="17">
                  <c:v>4948.746164</c:v>
                </c:pt>
                <c:pt idx="18">
                  <c:v>4759.333171</c:v>
                </c:pt>
                <c:pt idx="19">
                  <c:v>4530.118249</c:v>
                </c:pt>
                <c:pt idx="20">
                  <c:v>4321.534378</c:v>
                </c:pt>
                <c:pt idx="21">
                  <c:v>3741.355734</c:v>
                </c:pt>
                <c:pt idx="22">
                  <c:v>3465.503747</c:v>
                </c:pt>
                <c:pt idx="23">
                  <c:v>2933.474909</c:v>
                </c:pt>
                <c:pt idx="24">
                  <c:v>2562.873489</c:v>
                </c:pt>
                <c:pt idx="25">
                  <c:v>2180.363583</c:v>
                </c:pt>
                <c:pt idx="26">
                  <c:v>1637.657655</c:v>
                </c:pt>
                <c:pt idx="27">
                  <c:v>1427.834374</c:v>
                </c:pt>
                <c:pt idx="28">
                  <c:v>1350.791004</c:v>
                </c:pt>
                <c:pt idx="29">
                  <c:v>1333.490657</c:v>
                </c:pt>
                <c:pt idx="30">
                  <c:v>1298.077726</c:v>
                </c:pt>
                <c:pt idx="31">
                  <c:v>1186.271604</c:v>
                </c:pt>
                <c:pt idx="32">
                  <c:v>1121.175936</c:v>
                </c:pt>
                <c:pt idx="33">
                  <c:v>1035.711349</c:v>
                </c:pt>
                <c:pt idx="34">
                  <c:v>1058.651847</c:v>
                </c:pt>
                <c:pt idx="35">
                  <c:v>956.63708</c:v>
                </c:pt>
                <c:pt idx="36">
                  <c:v>946.4688599999999</c:v>
                </c:pt>
                <c:pt idx="37">
                  <c:v>878.179165</c:v>
                </c:pt>
                <c:pt idx="38">
                  <c:v>950.9654880000001</c:v>
                </c:pt>
                <c:pt idx="39">
                  <c:v>995.427605</c:v>
                </c:pt>
                <c:pt idx="40">
                  <c:v>1129.736274</c:v>
                </c:pt>
                <c:pt idx="41">
                  <c:v>1322.89059</c:v>
                </c:pt>
                <c:pt idx="42">
                  <c:v>1426.689313</c:v>
                </c:pt>
                <c:pt idx="43">
                  <c:v>1554.101992</c:v>
                </c:pt>
                <c:pt idx="44">
                  <c:v>1710.018202</c:v>
                </c:pt>
                <c:pt idx="45">
                  <c:v>1844.280007</c:v>
                </c:pt>
                <c:pt idx="46">
                  <c:v>1963.606451</c:v>
                </c:pt>
                <c:pt idx="47">
                  <c:v>2257.046919</c:v>
                </c:pt>
                <c:pt idx="48">
                  <c:v>2349.413724</c:v>
                </c:pt>
                <c:pt idx="49">
                  <c:v>2324.441512</c:v>
                </c:pt>
                <c:pt idx="50">
                  <c:v>2534.084883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'catch Atlantis'!$G$4:$G$54</c:f>
              <c:numCache>
                <c:formatCode>General</c:formatCode>
                <c:ptCount val="51"/>
                <c:pt idx="0">
                  <c:v>0.0</c:v>
                </c:pt>
                <c:pt idx="1">
                  <c:v>16396.743218</c:v>
                </c:pt>
                <c:pt idx="2">
                  <c:v>11549.896654</c:v>
                </c:pt>
                <c:pt idx="3">
                  <c:v>10693.826241</c:v>
                </c:pt>
                <c:pt idx="4">
                  <c:v>9798.840323</c:v>
                </c:pt>
                <c:pt idx="5">
                  <c:v>9382.985102000001</c:v>
                </c:pt>
                <c:pt idx="6">
                  <c:v>9423.335391000001</c:v>
                </c:pt>
                <c:pt idx="7">
                  <c:v>9524.498552</c:v>
                </c:pt>
                <c:pt idx="8">
                  <c:v>9612.473195</c:v>
                </c:pt>
                <c:pt idx="9">
                  <c:v>9963.205541</c:v>
                </c:pt>
                <c:pt idx="10">
                  <c:v>10178.345851</c:v>
                </c:pt>
                <c:pt idx="11">
                  <c:v>10266.319659</c:v>
                </c:pt>
                <c:pt idx="12">
                  <c:v>10030.998591</c:v>
                </c:pt>
                <c:pt idx="13">
                  <c:v>10073.221027</c:v>
                </c:pt>
                <c:pt idx="14">
                  <c:v>10131.939482</c:v>
                </c:pt>
                <c:pt idx="15">
                  <c:v>10287.110124</c:v>
                </c:pt>
                <c:pt idx="16">
                  <c:v>10230.988022</c:v>
                </c:pt>
                <c:pt idx="17">
                  <c:v>9559.618447</c:v>
                </c:pt>
                <c:pt idx="18">
                  <c:v>9188.284559</c:v>
                </c:pt>
                <c:pt idx="19">
                  <c:v>8983.130748</c:v>
                </c:pt>
                <c:pt idx="20">
                  <c:v>8426.924454</c:v>
                </c:pt>
                <c:pt idx="21">
                  <c:v>8063.326942</c:v>
                </c:pt>
                <c:pt idx="22">
                  <c:v>7193.963866</c:v>
                </c:pt>
                <c:pt idx="23">
                  <c:v>6760.694313</c:v>
                </c:pt>
                <c:pt idx="24">
                  <c:v>5993.300417</c:v>
                </c:pt>
                <c:pt idx="25">
                  <c:v>5480.495865</c:v>
                </c:pt>
                <c:pt idx="26">
                  <c:v>4378.227024</c:v>
                </c:pt>
                <c:pt idx="27">
                  <c:v>4439.054249</c:v>
                </c:pt>
                <c:pt idx="28">
                  <c:v>4926.933678</c:v>
                </c:pt>
                <c:pt idx="29">
                  <c:v>4870.829922</c:v>
                </c:pt>
                <c:pt idx="30">
                  <c:v>4245.618788</c:v>
                </c:pt>
                <c:pt idx="31">
                  <c:v>4382.619534</c:v>
                </c:pt>
                <c:pt idx="32">
                  <c:v>4902.819829</c:v>
                </c:pt>
                <c:pt idx="33">
                  <c:v>4329.492983</c:v>
                </c:pt>
                <c:pt idx="34">
                  <c:v>4234.026558</c:v>
                </c:pt>
                <c:pt idx="35">
                  <c:v>4312.225644</c:v>
                </c:pt>
                <c:pt idx="36">
                  <c:v>4041.22957</c:v>
                </c:pt>
                <c:pt idx="37">
                  <c:v>4192.087308</c:v>
                </c:pt>
                <c:pt idx="38">
                  <c:v>4328.279682</c:v>
                </c:pt>
                <c:pt idx="39">
                  <c:v>4601.666101</c:v>
                </c:pt>
                <c:pt idx="40">
                  <c:v>5220.91672</c:v>
                </c:pt>
                <c:pt idx="41">
                  <c:v>5492.578185</c:v>
                </c:pt>
                <c:pt idx="42">
                  <c:v>5509.479443</c:v>
                </c:pt>
                <c:pt idx="43">
                  <c:v>5538.426589</c:v>
                </c:pt>
                <c:pt idx="44">
                  <c:v>5680.829881</c:v>
                </c:pt>
                <c:pt idx="45">
                  <c:v>5758.039972</c:v>
                </c:pt>
                <c:pt idx="46">
                  <c:v>5862.054922</c:v>
                </c:pt>
                <c:pt idx="47">
                  <c:v>6202.514201</c:v>
                </c:pt>
                <c:pt idx="48">
                  <c:v>6215.979678</c:v>
                </c:pt>
                <c:pt idx="49">
                  <c:v>6257.546286</c:v>
                </c:pt>
                <c:pt idx="50">
                  <c:v>6512.225175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'catch Atlantis'!$H$4:$H$54</c:f>
              <c:numCache>
                <c:formatCode>General</c:formatCode>
                <c:ptCount val="51"/>
                <c:pt idx="0">
                  <c:v>0.0</c:v>
                </c:pt>
                <c:pt idx="1">
                  <c:v>25738.909682</c:v>
                </c:pt>
                <c:pt idx="2">
                  <c:v>16639.984533</c:v>
                </c:pt>
                <c:pt idx="3">
                  <c:v>12581.188305</c:v>
                </c:pt>
                <c:pt idx="4">
                  <c:v>10765.804218</c:v>
                </c:pt>
                <c:pt idx="5">
                  <c:v>9647.62981</c:v>
                </c:pt>
                <c:pt idx="6">
                  <c:v>9227.089097</c:v>
                </c:pt>
                <c:pt idx="7">
                  <c:v>8620.759110999999</c:v>
                </c:pt>
                <c:pt idx="8">
                  <c:v>8341.778858</c:v>
                </c:pt>
                <c:pt idx="9">
                  <c:v>8004.526191</c:v>
                </c:pt>
                <c:pt idx="10">
                  <c:v>7693.121595</c:v>
                </c:pt>
                <c:pt idx="11">
                  <c:v>7379.765268</c:v>
                </c:pt>
                <c:pt idx="12">
                  <c:v>7158.241096</c:v>
                </c:pt>
                <c:pt idx="13">
                  <c:v>6883.083952</c:v>
                </c:pt>
                <c:pt idx="14">
                  <c:v>6606.661132</c:v>
                </c:pt>
                <c:pt idx="15">
                  <c:v>6185.002687</c:v>
                </c:pt>
                <c:pt idx="16">
                  <c:v>5822.95512</c:v>
                </c:pt>
                <c:pt idx="17">
                  <c:v>5876.490978</c:v>
                </c:pt>
                <c:pt idx="18">
                  <c:v>5498.513114</c:v>
                </c:pt>
                <c:pt idx="19">
                  <c:v>5292.321175</c:v>
                </c:pt>
                <c:pt idx="20">
                  <c:v>5318.595937</c:v>
                </c:pt>
                <c:pt idx="21">
                  <c:v>5492.279015</c:v>
                </c:pt>
                <c:pt idx="22">
                  <c:v>5301.626586</c:v>
                </c:pt>
                <c:pt idx="23">
                  <c:v>5188.255262</c:v>
                </c:pt>
                <c:pt idx="24">
                  <c:v>5240.165735</c:v>
                </c:pt>
                <c:pt idx="25">
                  <c:v>5263.277984</c:v>
                </c:pt>
                <c:pt idx="26">
                  <c:v>4920.447042</c:v>
                </c:pt>
                <c:pt idx="27">
                  <c:v>4967.699133</c:v>
                </c:pt>
                <c:pt idx="28">
                  <c:v>5380.382307</c:v>
                </c:pt>
                <c:pt idx="29">
                  <c:v>5072.700712</c:v>
                </c:pt>
                <c:pt idx="30">
                  <c:v>5135.337982</c:v>
                </c:pt>
                <c:pt idx="31">
                  <c:v>5079.963865</c:v>
                </c:pt>
                <c:pt idx="32">
                  <c:v>5141.242628</c:v>
                </c:pt>
                <c:pt idx="33">
                  <c:v>4821.765513</c:v>
                </c:pt>
                <c:pt idx="34">
                  <c:v>5218.490294</c:v>
                </c:pt>
                <c:pt idx="35">
                  <c:v>5004.974558</c:v>
                </c:pt>
                <c:pt idx="36">
                  <c:v>5118.976866</c:v>
                </c:pt>
                <c:pt idx="37">
                  <c:v>4991.899261</c:v>
                </c:pt>
                <c:pt idx="38">
                  <c:v>4935.595449</c:v>
                </c:pt>
                <c:pt idx="39">
                  <c:v>4938.470678</c:v>
                </c:pt>
                <c:pt idx="40">
                  <c:v>5056.540205</c:v>
                </c:pt>
                <c:pt idx="41">
                  <c:v>4783.427735</c:v>
                </c:pt>
                <c:pt idx="42">
                  <c:v>5073.888972</c:v>
                </c:pt>
                <c:pt idx="43">
                  <c:v>4970.553813</c:v>
                </c:pt>
                <c:pt idx="44">
                  <c:v>4941.276457</c:v>
                </c:pt>
                <c:pt idx="45">
                  <c:v>5038.852033</c:v>
                </c:pt>
                <c:pt idx="46">
                  <c:v>4916.25964</c:v>
                </c:pt>
                <c:pt idx="47">
                  <c:v>5000.651662</c:v>
                </c:pt>
                <c:pt idx="48">
                  <c:v>4977.042495</c:v>
                </c:pt>
                <c:pt idx="49">
                  <c:v>4970.16832</c:v>
                </c:pt>
                <c:pt idx="50">
                  <c:v>4916.244921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'catch Atlantis'!$I$4:$I$54</c:f>
              <c:numCache>
                <c:formatCode>General</c:formatCode>
                <c:ptCount val="51"/>
                <c:pt idx="0">
                  <c:v>0.0</c:v>
                </c:pt>
                <c:pt idx="1">
                  <c:v>96777.481124</c:v>
                </c:pt>
                <c:pt idx="2">
                  <c:v>91408.318008</c:v>
                </c:pt>
                <c:pt idx="3">
                  <c:v>102420.981838</c:v>
                </c:pt>
                <c:pt idx="4">
                  <c:v>116100.162793</c:v>
                </c:pt>
                <c:pt idx="5">
                  <c:v>116024.684393</c:v>
                </c:pt>
                <c:pt idx="6">
                  <c:v>115336.313369</c:v>
                </c:pt>
                <c:pt idx="7">
                  <c:v>115201.135339</c:v>
                </c:pt>
                <c:pt idx="8">
                  <c:v>115125.076338</c:v>
                </c:pt>
                <c:pt idx="9">
                  <c:v>115373.865375</c:v>
                </c:pt>
                <c:pt idx="10">
                  <c:v>115211.587548</c:v>
                </c:pt>
                <c:pt idx="11">
                  <c:v>114838.865509</c:v>
                </c:pt>
                <c:pt idx="12">
                  <c:v>104894.451153</c:v>
                </c:pt>
                <c:pt idx="13">
                  <c:v>82880.405768</c:v>
                </c:pt>
                <c:pt idx="14">
                  <c:v>381.269985</c:v>
                </c:pt>
                <c:pt idx="15">
                  <c:v>449.683016</c:v>
                </c:pt>
                <c:pt idx="16">
                  <c:v>646.80251</c:v>
                </c:pt>
                <c:pt idx="17">
                  <c:v>667.073399</c:v>
                </c:pt>
                <c:pt idx="18">
                  <c:v>553.007979</c:v>
                </c:pt>
                <c:pt idx="19">
                  <c:v>700.544535</c:v>
                </c:pt>
                <c:pt idx="20">
                  <c:v>1382.481519</c:v>
                </c:pt>
                <c:pt idx="21">
                  <c:v>1845.27429</c:v>
                </c:pt>
                <c:pt idx="22">
                  <c:v>1915.592961</c:v>
                </c:pt>
                <c:pt idx="23">
                  <c:v>3491.648998</c:v>
                </c:pt>
                <c:pt idx="24">
                  <c:v>2926.065151</c:v>
                </c:pt>
                <c:pt idx="25">
                  <c:v>2909.531517</c:v>
                </c:pt>
                <c:pt idx="26">
                  <c:v>2547.250643</c:v>
                </c:pt>
                <c:pt idx="27">
                  <c:v>3457.516528</c:v>
                </c:pt>
                <c:pt idx="28">
                  <c:v>2681.599852</c:v>
                </c:pt>
                <c:pt idx="29">
                  <c:v>2203.698928</c:v>
                </c:pt>
                <c:pt idx="30">
                  <c:v>3332.79702</c:v>
                </c:pt>
                <c:pt idx="31">
                  <c:v>2621.427072</c:v>
                </c:pt>
                <c:pt idx="32">
                  <c:v>3034.489549</c:v>
                </c:pt>
                <c:pt idx="33">
                  <c:v>4724.386179</c:v>
                </c:pt>
                <c:pt idx="34">
                  <c:v>7313.633782</c:v>
                </c:pt>
                <c:pt idx="35">
                  <c:v>5750.239213</c:v>
                </c:pt>
                <c:pt idx="36">
                  <c:v>9988.4697</c:v>
                </c:pt>
                <c:pt idx="37">
                  <c:v>11025.068055</c:v>
                </c:pt>
                <c:pt idx="38">
                  <c:v>15364.96053</c:v>
                </c:pt>
                <c:pt idx="39">
                  <c:v>14373.865257</c:v>
                </c:pt>
                <c:pt idx="40">
                  <c:v>19629.317753</c:v>
                </c:pt>
                <c:pt idx="41">
                  <c:v>14218.210268</c:v>
                </c:pt>
                <c:pt idx="42">
                  <c:v>19792.392332</c:v>
                </c:pt>
                <c:pt idx="43">
                  <c:v>26234.769432</c:v>
                </c:pt>
                <c:pt idx="44">
                  <c:v>21320.057103</c:v>
                </c:pt>
                <c:pt idx="45">
                  <c:v>23413.334986</c:v>
                </c:pt>
                <c:pt idx="46">
                  <c:v>31482.365052</c:v>
                </c:pt>
                <c:pt idx="47">
                  <c:v>33365.795502</c:v>
                </c:pt>
                <c:pt idx="48">
                  <c:v>38882.38259</c:v>
                </c:pt>
                <c:pt idx="49">
                  <c:v>39616.946257</c:v>
                </c:pt>
                <c:pt idx="50">
                  <c:v>46583.64463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'catch Atlantis'!$J$4:$J$54</c:f>
              <c:numCache>
                <c:formatCode>General</c:formatCode>
                <c:ptCount val="51"/>
                <c:pt idx="0">
                  <c:v>0.0</c:v>
                </c:pt>
                <c:pt idx="1">
                  <c:v>24898.517161</c:v>
                </c:pt>
                <c:pt idx="2">
                  <c:v>22577.886497</c:v>
                </c:pt>
                <c:pt idx="3">
                  <c:v>22630.461235</c:v>
                </c:pt>
                <c:pt idx="4">
                  <c:v>23104.118673</c:v>
                </c:pt>
                <c:pt idx="5">
                  <c:v>23480.008247</c:v>
                </c:pt>
                <c:pt idx="6">
                  <c:v>24047.650453</c:v>
                </c:pt>
                <c:pt idx="7">
                  <c:v>24699.286187</c:v>
                </c:pt>
                <c:pt idx="8">
                  <c:v>25374.648709</c:v>
                </c:pt>
                <c:pt idx="9">
                  <c:v>25649.253952</c:v>
                </c:pt>
                <c:pt idx="10">
                  <c:v>26116.610684</c:v>
                </c:pt>
                <c:pt idx="11">
                  <c:v>26193.659291</c:v>
                </c:pt>
                <c:pt idx="12">
                  <c:v>26242.123156</c:v>
                </c:pt>
                <c:pt idx="13">
                  <c:v>26384.733476</c:v>
                </c:pt>
                <c:pt idx="14">
                  <c:v>26691.958315</c:v>
                </c:pt>
                <c:pt idx="15">
                  <c:v>26987.998463</c:v>
                </c:pt>
                <c:pt idx="16">
                  <c:v>27141.828319</c:v>
                </c:pt>
                <c:pt idx="17">
                  <c:v>27157.319214</c:v>
                </c:pt>
                <c:pt idx="18">
                  <c:v>26721.601199</c:v>
                </c:pt>
                <c:pt idx="19">
                  <c:v>27053.984695</c:v>
                </c:pt>
                <c:pt idx="20">
                  <c:v>26597.966153</c:v>
                </c:pt>
                <c:pt idx="21">
                  <c:v>26230.576226</c:v>
                </c:pt>
                <c:pt idx="22">
                  <c:v>25800.09084</c:v>
                </c:pt>
                <c:pt idx="23">
                  <c:v>25248.389615</c:v>
                </c:pt>
                <c:pt idx="24">
                  <c:v>24708.137496</c:v>
                </c:pt>
                <c:pt idx="25">
                  <c:v>23761.425796</c:v>
                </c:pt>
                <c:pt idx="26">
                  <c:v>21919.242595</c:v>
                </c:pt>
                <c:pt idx="27">
                  <c:v>20845.47356</c:v>
                </c:pt>
                <c:pt idx="28">
                  <c:v>20299.049822</c:v>
                </c:pt>
                <c:pt idx="29">
                  <c:v>20621.6495</c:v>
                </c:pt>
                <c:pt idx="30">
                  <c:v>20530.186945</c:v>
                </c:pt>
                <c:pt idx="31">
                  <c:v>20114.725428</c:v>
                </c:pt>
                <c:pt idx="32">
                  <c:v>19474.377722</c:v>
                </c:pt>
                <c:pt idx="33">
                  <c:v>19396.601659</c:v>
                </c:pt>
                <c:pt idx="34">
                  <c:v>19579.816094</c:v>
                </c:pt>
                <c:pt idx="35">
                  <c:v>18741.736553</c:v>
                </c:pt>
                <c:pt idx="36">
                  <c:v>18795.396832</c:v>
                </c:pt>
                <c:pt idx="37">
                  <c:v>18664.544277</c:v>
                </c:pt>
                <c:pt idx="38">
                  <c:v>18386.140574</c:v>
                </c:pt>
                <c:pt idx="39">
                  <c:v>18226.624586</c:v>
                </c:pt>
                <c:pt idx="40">
                  <c:v>18262.49749</c:v>
                </c:pt>
                <c:pt idx="41">
                  <c:v>18886.987801</c:v>
                </c:pt>
                <c:pt idx="42">
                  <c:v>18429.723959</c:v>
                </c:pt>
                <c:pt idx="43">
                  <c:v>18518.341183</c:v>
                </c:pt>
                <c:pt idx="44">
                  <c:v>18122.456358</c:v>
                </c:pt>
                <c:pt idx="45">
                  <c:v>18496.863401</c:v>
                </c:pt>
                <c:pt idx="46">
                  <c:v>18744.606253</c:v>
                </c:pt>
                <c:pt idx="47">
                  <c:v>18822.733028</c:v>
                </c:pt>
                <c:pt idx="48">
                  <c:v>18853.688052</c:v>
                </c:pt>
                <c:pt idx="49">
                  <c:v>18882.704839</c:v>
                </c:pt>
                <c:pt idx="50">
                  <c:v>18748.081741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'catch Atlantis'!$K$4:$K$54</c:f>
              <c:numCache>
                <c:formatCode>General</c:formatCode>
                <c:ptCount val="51"/>
                <c:pt idx="0">
                  <c:v>0.0</c:v>
                </c:pt>
                <c:pt idx="1">
                  <c:v>979.345237</c:v>
                </c:pt>
                <c:pt idx="2">
                  <c:v>1049.816502</c:v>
                </c:pt>
                <c:pt idx="3">
                  <c:v>1111.430811</c:v>
                </c:pt>
                <c:pt idx="4">
                  <c:v>1173.279459</c:v>
                </c:pt>
                <c:pt idx="5">
                  <c:v>1230.681682</c:v>
                </c:pt>
                <c:pt idx="6">
                  <c:v>1300.042714</c:v>
                </c:pt>
                <c:pt idx="7">
                  <c:v>1362.904667</c:v>
                </c:pt>
                <c:pt idx="8">
                  <c:v>1436.741024</c:v>
                </c:pt>
                <c:pt idx="9">
                  <c:v>1506.042544</c:v>
                </c:pt>
                <c:pt idx="10">
                  <c:v>1578.388212</c:v>
                </c:pt>
                <c:pt idx="11">
                  <c:v>1652.579164</c:v>
                </c:pt>
                <c:pt idx="12">
                  <c:v>1724.708054</c:v>
                </c:pt>
                <c:pt idx="13">
                  <c:v>1796.99725</c:v>
                </c:pt>
                <c:pt idx="14">
                  <c:v>1862.886531</c:v>
                </c:pt>
                <c:pt idx="15">
                  <c:v>1969.473679</c:v>
                </c:pt>
                <c:pt idx="16">
                  <c:v>2034.724129</c:v>
                </c:pt>
                <c:pt idx="17">
                  <c:v>2053.440722</c:v>
                </c:pt>
                <c:pt idx="18">
                  <c:v>2062.071217</c:v>
                </c:pt>
                <c:pt idx="19">
                  <c:v>2055.981147</c:v>
                </c:pt>
                <c:pt idx="20">
                  <c:v>2052.920739</c:v>
                </c:pt>
                <c:pt idx="21">
                  <c:v>2051.844575</c:v>
                </c:pt>
                <c:pt idx="22">
                  <c:v>2025.166905</c:v>
                </c:pt>
                <c:pt idx="23">
                  <c:v>2002.766689</c:v>
                </c:pt>
                <c:pt idx="24">
                  <c:v>1940.305321</c:v>
                </c:pt>
                <c:pt idx="25">
                  <c:v>1879.988811</c:v>
                </c:pt>
                <c:pt idx="26">
                  <c:v>1700.142393</c:v>
                </c:pt>
                <c:pt idx="27">
                  <c:v>1653.916037</c:v>
                </c:pt>
                <c:pt idx="28">
                  <c:v>1661.792112</c:v>
                </c:pt>
                <c:pt idx="29">
                  <c:v>1632.594175</c:v>
                </c:pt>
                <c:pt idx="30">
                  <c:v>1652.581964</c:v>
                </c:pt>
                <c:pt idx="31">
                  <c:v>1614.746655</c:v>
                </c:pt>
                <c:pt idx="32">
                  <c:v>1624.503714</c:v>
                </c:pt>
                <c:pt idx="33">
                  <c:v>1626.787031</c:v>
                </c:pt>
                <c:pt idx="34">
                  <c:v>1638.794538</c:v>
                </c:pt>
                <c:pt idx="35">
                  <c:v>1652.350629</c:v>
                </c:pt>
                <c:pt idx="36">
                  <c:v>1609.694989</c:v>
                </c:pt>
                <c:pt idx="37">
                  <c:v>1611.460239</c:v>
                </c:pt>
                <c:pt idx="38">
                  <c:v>1603.993525</c:v>
                </c:pt>
                <c:pt idx="39">
                  <c:v>1631.112022</c:v>
                </c:pt>
                <c:pt idx="40">
                  <c:v>1668.482758</c:v>
                </c:pt>
                <c:pt idx="41">
                  <c:v>1671.299216</c:v>
                </c:pt>
                <c:pt idx="42">
                  <c:v>1745.430178</c:v>
                </c:pt>
                <c:pt idx="43">
                  <c:v>1818.077683</c:v>
                </c:pt>
                <c:pt idx="44">
                  <c:v>1790.959796</c:v>
                </c:pt>
                <c:pt idx="45">
                  <c:v>1784.969943</c:v>
                </c:pt>
                <c:pt idx="46">
                  <c:v>1790.91998</c:v>
                </c:pt>
                <c:pt idx="47">
                  <c:v>1806.884677</c:v>
                </c:pt>
                <c:pt idx="48">
                  <c:v>1811.868878</c:v>
                </c:pt>
                <c:pt idx="49">
                  <c:v>1817.707149</c:v>
                </c:pt>
                <c:pt idx="50">
                  <c:v>1896.332511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705064"/>
        <c:axId val="2069708008"/>
      </c:lineChart>
      <c:catAx>
        <c:axId val="20697050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69708008"/>
        <c:crosses val="autoZero"/>
        <c:auto val="1"/>
        <c:lblAlgn val="ctr"/>
        <c:lblOffset val="100"/>
        <c:noMultiLvlLbl val="0"/>
      </c:catAx>
      <c:valAx>
        <c:axId val="2069708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9705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'Catch SAs'!$G$8:$G$53</c:f>
              <c:numCache>
                <c:formatCode>General</c:formatCode>
                <c:ptCount val="46"/>
                <c:pt idx="0">
                  <c:v>150362.0</c:v>
                </c:pt>
                <c:pt idx="1">
                  <c:v>121274.0</c:v>
                </c:pt>
                <c:pt idx="2">
                  <c:v>51469.0</c:v>
                </c:pt>
                <c:pt idx="3">
                  <c:v>40923.0</c:v>
                </c:pt>
                <c:pt idx="4">
                  <c:v>22252.0</c:v>
                </c:pt>
                <c:pt idx="5">
                  <c:v>11300.0</c:v>
                </c:pt>
                <c:pt idx="6">
                  <c:v>10862.0</c:v>
                </c:pt>
                <c:pt idx="7">
                  <c:v>5866.0</c:v>
                </c:pt>
                <c:pt idx="8">
                  <c:v>5429.0</c:v>
                </c:pt>
                <c:pt idx="9">
                  <c:v>4450.0</c:v>
                </c:pt>
                <c:pt idx="10">
                  <c:v>5606.0</c:v>
                </c:pt>
                <c:pt idx="11">
                  <c:v>4484.0</c:v>
                </c:pt>
                <c:pt idx="12">
                  <c:v>10994.0</c:v>
                </c:pt>
                <c:pt idx="13">
                  <c:v>22516.0</c:v>
                </c:pt>
                <c:pt idx="14">
                  <c:v>19647.0</c:v>
                </c:pt>
                <c:pt idx="15">
                  <c:v>27638.0</c:v>
                </c:pt>
                <c:pt idx="16">
                  <c:v>25011.0</c:v>
                </c:pt>
                <c:pt idx="17">
                  <c:v>17627.0</c:v>
                </c:pt>
                <c:pt idx="18">
                  <c:v>12009.0</c:v>
                </c:pt>
                <c:pt idx="19">
                  <c:v>10394.0</c:v>
                </c:pt>
                <c:pt idx="20">
                  <c:v>7943.0</c:v>
                </c:pt>
                <c:pt idx="21">
                  <c:v>6846.0</c:v>
                </c:pt>
                <c:pt idx="22">
                  <c:v>6997.0</c:v>
                </c:pt>
                <c:pt idx="23">
                  <c:v>6689.0</c:v>
                </c:pt>
                <c:pt idx="24">
                  <c:v>4915.0</c:v>
                </c:pt>
                <c:pt idx="25">
                  <c:v>5574.0</c:v>
                </c:pt>
                <c:pt idx="26">
                  <c:v>6997.0</c:v>
                </c:pt>
                <c:pt idx="27">
                  <c:v>6244.0</c:v>
                </c:pt>
                <c:pt idx="28">
                  <c:v>4668.0</c:v>
                </c:pt>
                <c:pt idx="29">
                  <c:v>4827.0</c:v>
                </c:pt>
                <c:pt idx="30">
                  <c:v>2442.0</c:v>
                </c:pt>
                <c:pt idx="31">
                  <c:v>4131.0</c:v>
                </c:pt>
                <c:pt idx="32">
                  <c:v>3833.0</c:v>
                </c:pt>
                <c:pt idx="33">
                  <c:v>5665.0</c:v>
                </c:pt>
                <c:pt idx="34">
                  <c:v>6357.0</c:v>
                </c:pt>
                <c:pt idx="35">
                  <c:v>8711.0</c:v>
                </c:pt>
                <c:pt idx="36">
                  <c:v>11788.0</c:v>
                </c:pt>
                <c:pt idx="37">
                  <c:v>13258.0</c:v>
                </c:pt>
                <c:pt idx="38">
                  <c:v>12827.0</c:v>
                </c:pt>
                <c:pt idx="39">
                  <c:v>18253.0</c:v>
                </c:pt>
                <c:pt idx="40">
                  <c:v>21814.0</c:v>
                </c:pt>
                <c:pt idx="41">
                  <c:v>15989.0</c:v>
                </c:pt>
                <c:pt idx="42">
                  <c:v>16815.0</c:v>
                </c:pt>
                <c:pt idx="43">
                  <c:v>21021.0</c:v>
                </c:pt>
                <c:pt idx="44">
                  <c:v>23126.0</c:v>
                </c:pt>
                <c:pt idx="45">
                  <c:v>25903.0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'Catch SAs'!$H$8:$H$53</c:f>
              <c:numCache>
                <c:formatCode>General</c:formatCode>
                <c:ptCount val="46"/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'Catch SAs'!$I$8:$I$53</c:f>
              <c:numCache>
                <c:formatCode>General</c:formatCode>
                <c:ptCount val="46"/>
                <c:pt idx="0">
                  <c:v>57204.66779</c:v>
                </c:pt>
                <c:pt idx="1">
                  <c:v>26538.51635</c:v>
                </c:pt>
                <c:pt idx="2">
                  <c:v>17264.20909</c:v>
                </c:pt>
                <c:pt idx="3">
                  <c:v>12950.62122</c:v>
                </c:pt>
                <c:pt idx="4">
                  <c:v>10401.10608</c:v>
                </c:pt>
                <c:pt idx="5">
                  <c:v>8909.764151</c:v>
                </c:pt>
                <c:pt idx="6">
                  <c:v>7915.84538</c:v>
                </c:pt>
                <c:pt idx="7">
                  <c:v>7174.492376</c:v>
                </c:pt>
                <c:pt idx="8">
                  <c:v>6635.567976</c:v>
                </c:pt>
                <c:pt idx="9">
                  <c:v>6269.407799</c:v>
                </c:pt>
                <c:pt idx="10">
                  <c:v>5952.467739</c:v>
                </c:pt>
                <c:pt idx="11">
                  <c:v>5965.415684</c:v>
                </c:pt>
                <c:pt idx="12">
                  <c:v>5759.254318</c:v>
                </c:pt>
                <c:pt idx="13">
                  <c:v>5639.000694</c:v>
                </c:pt>
                <c:pt idx="14">
                  <c:v>5567.978332</c:v>
                </c:pt>
                <c:pt idx="15">
                  <c:v>5208.691047</c:v>
                </c:pt>
                <c:pt idx="16">
                  <c:v>4948.746164</c:v>
                </c:pt>
                <c:pt idx="17">
                  <c:v>4759.333171</c:v>
                </c:pt>
                <c:pt idx="18">
                  <c:v>4530.118249</c:v>
                </c:pt>
                <c:pt idx="19">
                  <c:v>4321.534378</c:v>
                </c:pt>
                <c:pt idx="20">
                  <c:v>3741.355734</c:v>
                </c:pt>
                <c:pt idx="21">
                  <c:v>3465.503747</c:v>
                </c:pt>
                <c:pt idx="22">
                  <c:v>2933.474909</c:v>
                </c:pt>
                <c:pt idx="23">
                  <c:v>2562.873489</c:v>
                </c:pt>
                <c:pt idx="24">
                  <c:v>2180.363583</c:v>
                </c:pt>
                <c:pt idx="25">
                  <c:v>1637.657655</c:v>
                </c:pt>
                <c:pt idx="26">
                  <c:v>1427.834374</c:v>
                </c:pt>
                <c:pt idx="27">
                  <c:v>1350.791004</c:v>
                </c:pt>
                <c:pt idx="28">
                  <c:v>1333.490657</c:v>
                </c:pt>
                <c:pt idx="29">
                  <c:v>1298.077726</c:v>
                </c:pt>
                <c:pt idx="30">
                  <c:v>1186.271604</c:v>
                </c:pt>
                <c:pt idx="31">
                  <c:v>1121.175936</c:v>
                </c:pt>
                <c:pt idx="32">
                  <c:v>1035.711349</c:v>
                </c:pt>
                <c:pt idx="33">
                  <c:v>1058.651847</c:v>
                </c:pt>
                <c:pt idx="34">
                  <c:v>956.63708</c:v>
                </c:pt>
                <c:pt idx="35">
                  <c:v>946.4688599999999</c:v>
                </c:pt>
                <c:pt idx="36">
                  <c:v>878.179165</c:v>
                </c:pt>
                <c:pt idx="37">
                  <c:v>950.9654880000001</c:v>
                </c:pt>
                <c:pt idx="38">
                  <c:v>995.427605</c:v>
                </c:pt>
                <c:pt idx="39">
                  <c:v>1129.736274</c:v>
                </c:pt>
                <c:pt idx="40">
                  <c:v>1322.89059</c:v>
                </c:pt>
                <c:pt idx="41">
                  <c:v>1426.689313</c:v>
                </c:pt>
                <c:pt idx="42">
                  <c:v>1554.101992</c:v>
                </c:pt>
                <c:pt idx="43">
                  <c:v>1710.018202</c:v>
                </c:pt>
                <c:pt idx="44">
                  <c:v>1844.280007</c:v>
                </c:pt>
                <c:pt idx="45">
                  <c:v>1963.606451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745752"/>
        <c:axId val="2069748728"/>
      </c:lineChart>
      <c:catAx>
        <c:axId val="2069745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69748728"/>
        <c:crosses val="autoZero"/>
        <c:auto val="1"/>
        <c:lblAlgn val="ctr"/>
        <c:lblOffset val="100"/>
        <c:noMultiLvlLbl val="0"/>
      </c:catAx>
      <c:valAx>
        <c:axId val="2069748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9745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8</xdr:row>
      <xdr:rowOff>171449</xdr:rowOff>
    </xdr:from>
    <xdr:to>
      <xdr:col>18</xdr:col>
      <xdr:colOff>66675</xdr:colOff>
      <xdr:row>28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24</xdr:row>
      <xdr:rowOff>9525</xdr:rowOff>
    </xdr:from>
    <xdr:to>
      <xdr:col>14</xdr:col>
      <xdr:colOff>409575</xdr:colOff>
      <xdr:row>38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8</xdr:row>
      <xdr:rowOff>171449</xdr:rowOff>
    </xdr:from>
    <xdr:to>
      <xdr:col>18</xdr:col>
      <xdr:colOff>66675</xdr:colOff>
      <xdr:row>28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21</xdr:row>
      <xdr:rowOff>47625</xdr:rowOff>
    </xdr:from>
    <xdr:to>
      <xdr:col>17</xdr:col>
      <xdr:colOff>85725</xdr:colOff>
      <xdr:row>35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24</xdr:row>
      <xdr:rowOff>9525</xdr:rowOff>
    </xdr:from>
    <xdr:to>
      <xdr:col>14</xdr:col>
      <xdr:colOff>409575</xdr:colOff>
      <xdr:row>38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21</xdr:row>
      <xdr:rowOff>47625</xdr:rowOff>
    </xdr:from>
    <xdr:to>
      <xdr:col>17</xdr:col>
      <xdr:colOff>85725</xdr:colOff>
      <xdr:row>35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workbookViewId="0">
      <selection activeCell="B15" sqref="B15:P15"/>
    </sheetView>
  </sheetViews>
  <sheetFormatPr baseColWidth="10" defaultColWidth="8.83203125" defaultRowHeight="14" x14ac:dyDescent="0"/>
  <sheetData>
    <row r="1" spans="1:20">
      <c r="B1">
        <v>9.8765333333333327</v>
      </c>
      <c r="C1">
        <v>9.8765333333333327</v>
      </c>
      <c r="D1">
        <v>9.8765333333333327</v>
      </c>
      <c r="E1">
        <v>9.8765333333333327</v>
      </c>
      <c r="F1">
        <v>9.8765333333333327</v>
      </c>
      <c r="G1">
        <v>9.8765333333333327</v>
      </c>
      <c r="H1">
        <v>9.8765333333333327</v>
      </c>
      <c r="I1">
        <v>9.8765333333333327</v>
      </c>
      <c r="J1">
        <v>9.8765333333333327</v>
      </c>
      <c r="K1">
        <v>9.8765333333333327</v>
      </c>
      <c r="L1">
        <v>9.8765333333333327</v>
      </c>
      <c r="M1">
        <v>9.8765333333333327</v>
      </c>
      <c r="N1">
        <v>9.8765333333333327</v>
      </c>
      <c r="O1">
        <v>9.8765333333333327</v>
      </c>
      <c r="P1">
        <v>9.8765333333333327</v>
      </c>
      <c r="Q1" t="s">
        <v>70</v>
      </c>
    </row>
    <row r="2" spans="1:20">
      <c r="A2" t="s">
        <v>64</v>
      </c>
    </row>
    <row r="3" spans="1:20">
      <c r="A3" t="s">
        <v>34</v>
      </c>
      <c r="B3" s="2">
        <v>236858.38</v>
      </c>
      <c r="C3" s="2">
        <v>68707.62</v>
      </c>
      <c r="D3" s="2">
        <v>3060.0544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20">
      <c r="A4" t="s">
        <v>35</v>
      </c>
      <c r="B4" s="2">
        <v>0.66268857999999997</v>
      </c>
      <c r="C4" s="2">
        <v>0.78275415000000004</v>
      </c>
      <c r="D4" s="2">
        <v>0.69471070000000001</v>
      </c>
      <c r="E4" s="2">
        <v>0.61053491999999998</v>
      </c>
      <c r="F4" s="2">
        <v>0.52648702999999997</v>
      </c>
      <c r="G4" s="2">
        <v>0.44055388000000001</v>
      </c>
      <c r="H4" s="2">
        <v>0.35183218999999999</v>
      </c>
      <c r="I4" s="2">
        <v>0.26060896</v>
      </c>
      <c r="J4" s="2">
        <v>0.16915631</v>
      </c>
      <c r="K4" s="2">
        <v>8.5657367999999998E-2</v>
      </c>
      <c r="L4" s="2">
        <v>1.4235365E-2</v>
      </c>
      <c r="M4" s="2">
        <v>0</v>
      </c>
      <c r="N4" s="2">
        <v>0</v>
      </c>
      <c r="O4" s="2">
        <v>0</v>
      </c>
      <c r="P4" s="2">
        <v>0</v>
      </c>
    </row>
    <row r="5" spans="1:20">
      <c r="A5" t="s">
        <v>36</v>
      </c>
      <c r="B5" s="2">
        <v>1.5164249999999999</v>
      </c>
      <c r="C5" s="2">
        <v>2.3197348999999998</v>
      </c>
      <c r="D5" s="2">
        <v>2.2095006000000001</v>
      </c>
      <c r="E5" s="2">
        <v>2.1042627</v>
      </c>
      <c r="F5" s="2">
        <v>1.9980525</v>
      </c>
      <c r="G5" s="2">
        <v>1.8843574000000001</v>
      </c>
      <c r="H5" s="2">
        <v>1.7559598000000001</v>
      </c>
      <c r="I5" s="2">
        <v>1.6025068</v>
      </c>
      <c r="J5" s="2">
        <v>1.4068569</v>
      </c>
      <c r="K5" s="2">
        <v>1.1422228999999999</v>
      </c>
      <c r="L5" s="2">
        <v>0.78245253000000003</v>
      </c>
      <c r="M5" s="2">
        <v>0.34917710000000002</v>
      </c>
      <c r="N5" s="2">
        <v>0</v>
      </c>
      <c r="O5" s="2">
        <v>0</v>
      </c>
      <c r="P5" s="2">
        <v>0</v>
      </c>
    </row>
    <row r="6" spans="1:20">
      <c r="A6" t="s">
        <v>37</v>
      </c>
      <c r="B6" s="2">
        <v>2.6402269</v>
      </c>
      <c r="C6" s="2">
        <v>4.7836717000000002</v>
      </c>
      <c r="D6" s="2">
        <v>5.3512421999999997</v>
      </c>
      <c r="E6" s="2">
        <v>6.3066725000000003</v>
      </c>
      <c r="F6" s="2">
        <v>8.5388107000000009</v>
      </c>
      <c r="G6" s="2">
        <v>11.161203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20">
      <c r="A7" t="s">
        <v>38</v>
      </c>
      <c r="B7" s="2">
        <v>80.697299000000001</v>
      </c>
      <c r="C7" s="2">
        <v>85.853258999999994</v>
      </c>
      <c r="D7" s="2">
        <v>58.989362999999997</v>
      </c>
      <c r="E7" s="2">
        <v>30.434225999999999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20">
      <c r="A8" t="s">
        <v>39</v>
      </c>
      <c r="B8" s="2">
        <v>4.4434731999999997</v>
      </c>
      <c r="C8" s="2">
        <v>5.0468111000000002</v>
      </c>
      <c r="D8" s="2">
        <v>3.6543024000000002</v>
      </c>
      <c r="E8" s="2">
        <v>2.5206962000000002</v>
      </c>
      <c r="F8" s="2">
        <v>1.6896202</v>
      </c>
      <c r="G8" s="2">
        <v>1.0732097</v>
      </c>
      <c r="H8" s="2">
        <v>0.55270109999999995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20">
      <c r="A9" t="s">
        <v>40</v>
      </c>
      <c r="B9" s="2">
        <v>1.0007063</v>
      </c>
      <c r="C9" s="2">
        <v>1.4690810000000001</v>
      </c>
      <c r="D9" s="2">
        <v>1.1813408000000001</v>
      </c>
      <c r="E9" s="2">
        <v>0.94423672000000003</v>
      </c>
      <c r="F9" s="2">
        <v>0.76798</v>
      </c>
      <c r="G9" s="2">
        <v>0.63579078</v>
      </c>
      <c r="H9" s="2">
        <v>0.53201978000000005</v>
      </c>
      <c r="I9" s="2">
        <v>0.44576676999999998</v>
      </c>
      <c r="J9" s="2">
        <v>0.37443163000000002</v>
      </c>
      <c r="K9" s="2">
        <v>0.30532796000000001</v>
      </c>
      <c r="L9" s="2">
        <v>0.23426737</v>
      </c>
      <c r="M9" s="2">
        <v>0.16154442999999999</v>
      </c>
      <c r="N9" s="2">
        <v>9.2194445E-2</v>
      </c>
      <c r="O9" s="2">
        <v>3.3492511000000003E-2</v>
      </c>
      <c r="P9" s="2">
        <v>5.6977633999999999E-3</v>
      </c>
      <c r="R9" t="s">
        <v>66</v>
      </c>
    </row>
    <row r="10" spans="1:20">
      <c r="A10" t="s">
        <v>41</v>
      </c>
      <c r="B10" s="2">
        <v>4.2530649</v>
      </c>
      <c r="C10" s="2">
        <v>10.51529</v>
      </c>
      <c r="D10" s="2">
        <v>10.007216</v>
      </c>
      <c r="E10" s="2">
        <v>9.5831648999999999</v>
      </c>
      <c r="F10" s="2">
        <v>9.4794295000000002</v>
      </c>
      <c r="G10" s="2">
        <v>9.8232771999999997</v>
      </c>
      <c r="H10" s="2">
        <v>11.135063000000001</v>
      </c>
      <c r="I10" s="2">
        <v>12.677524999999999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R10">
        <f>148*1.001</f>
        <v>148.148</v>
      </c>
      <c r="S10" t="s">
        <v>65</v>
      </c>
    </row>
    <row r="11" spans="1:20">
      <c r="A11" t="s">
        <v>42</v>
      </c>
      <c r="B11" s="2">
        <v>1.3415090000000001</v>
      </c>
      <c r="C11" s="2">
        <v>1.4201613</v>
      </c>
      <c r="D11" s="2">
        <v>0.99574412000000001</v>
      </c>
      <c r="E11" s="2">
        <v>0.69141068999999999</v>
      </c>
      <c r="F11" s="2">
        <v>0.48698209999999997</v>
      </c>
      <c r="G11" s="2">
        <v>0.34638369000000002</v>
      </c>
      <c r="H11" s="2">
        <v>0.24514074999999999</v>
      </c>
      <c r="I11" s="2">
        <v>0.16826284999999999</v>
      </c>
      <c r="J11" s="2">
        <v>0.11159746</v>
      </c>
      <c r="K11" s="2">
        <v>6.4711017999999995E-2</v>
      </c>
      <c r="L11" s="2">
        <v>2.8515387999999999E-2</v>
      </c>
      <c r="M11" s="2">
        <v>5.2267540000000001E-3</v>
      </c>
      <c r="N11" s="2">
        <v>0</v>
      </c>
      <c r="O11" s="2">
        <v>0</v>
      </c>
      <c r="P11" s="2">
        <v>0</v>
      </c>
      <c r="R11">
        <v>15</v>
      </c>
      <c r="S11" t="s">
        <v>67</v>
      </c>
      <c r="T11" t="s">
        <v>68</v>
      </c>
    </row>
    <row r="12" spans="1:20">
      <c r="A12" t="s">
        <v>43</v>
      </c>
      <c r="B12" s="2">
        <v>7.7436746000000001E-2</v>
      </c>
      <c r="C12" s="2">
        <v>9.6534211999999994E-2</v>
      </c>
      <c r="D12" s="2">
        <v>7.3053778E-2</v>
      </c>
      <c r="E12" s="2">
        <v>5.5334251000000001E-2</v>
      </c>
      <c r="F12" s="2">
        <v>4.2993275999999997E-2</v>
      </c>
      <c r="G12" s="2">
        <v>3.4149288E-2</v>
      </c>
      <c r="H12" s="2">
        <v>2.7404153000000001E-2</v>
      </c>
      <c r="I12" s="2">
        <v>2.1909125000000002E-2</v>
      </c>
      <c r="J12" s="2">
        <v>1.7356463999999999E-2</v>
      </c>
      <c r="K12" s="2">
        <v>1.3081142E-2</v>
      </c>
      <c r="L12" s="2">
        <v>8.9773970999999994E-3</v>
      </c>
      <c r="M12" s="2">
        <v>5.2041522999999998E-3</v>
      </c>
      <c r="N12" s="2">
        <v>2.1926492000000001E-3</v>
      </c>
      <c r="O12" s="2">
        <v>5.4752054000000003E-4</v>
      </c>
      <c r="P12" s="2">
        <v>0</v>
      </c>
      <c r="R12">
        <f>R10/R11</f>
        <v>9.8765333333333327</v>
      </c>
      <c r="S12" t="s">
        <v>69</v>
      </c>
    </row>
    <row r="13" spans="1:20">
      <c r="A13" t="s">
        <v>44</v>
      </c>
      <c r="B13" s="2">
        <v>2.4403646999999999</v>
      </c>
      <c r="C13" s="2">
        <v>2.7361122</v>
      </c>
      <c r="D13" s="2">
        <v>1.9757819999999999</v>
      </c>
      <c r="E13" s="2">
        <v>1.3700458</v>
      </c>
      <c r="F13" s="2">
        <v>0.92987266000000002</v>
      </c>
      <c r="G13" s="2">
        <v>0.61191443999999995</v>
      </c>
      <c r="H13" s="2">
        <v>0.14007185999999999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20">
      <c r="A14" t="s">
        <v>48</v>
      </c>
      <c r="B14" s="2">
        <v>0.33930842</v>
      </c>
      <c r="C14" s="2">
        <v>0.57729026000000006</v>
      </c>
      <c r="D14" s="2">
        <v>0.64836859000000002</v>
      </c>
      <c r="E14" s="2">
        <v>0.77585504999999999</v>
      </c>
      <c r="F14" s="2">
        <v>1.2172559000000001</v>
      </c>
      <c r="G14" s="2">
        <v>0.69835689000000001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20">
      <c r="A15" t="s">
        <v>49</v>
      </c>
      <c r="B15" s="2">
        <v>1.8852205999999999E-3</v>
      </c>
      <c r="C15" s="2">
        <v>3.9069684000000004E-3</v>
      </c>
      <c r="D15" s="2">
        <v>3.8549236999999999E-3</v>
      </c>
      <c r="E15" s="2">
        <v>3.8321330000000002E-3</v>
      </c>
      <c r="F15" s="2">
        <v>3.8114598E-3</v>
      </c>
      <c r="G15" s="2">
        <v>3.7756335000000002E-3</v>
      </c>
      <c r="H15" s="2">
        <v>3.70799E-3</v>
      </c>
      <c r="I15" s="2">
        <v>3.5849626999999999E-3</v>
      </c>
      <c r="J15" s="2">
        <v>3.3785349000000002E-3</v>
      </c>
      <c r="K15" s="2">
        <v>3.0581133E-3</v>
      </c>
      <c r="L15" s="2">
        <v>2.5956259000000001E-3</v>
      </c>
      <c r="M15" s="2">
        <v>1.9734294999999998E-3</v>
      </c>
      <c r="N15" s="2">
        <v>1.2000765E-3</v>
      </c>
      <c r="O15" s="2">
        <v>5.2870840000000005E-4</v>
      </c>
      <c r="P15" s="2">
        <v>0</v>
      </c>
    </row>
    <row r="16" spans="1:20">
      <c r="A16" t="s">
        <v>47</v>
      </c>
      <c r="B16" s="2">
        <v>3.9070122999999999</v>
      </c>
      <c r="C16" s="2">
        <v>6.6463913000000003</v>
      </c>
      <c r="D16" s="2">
        <v>7.4657787000000004</v>
      </c>
      <c r="E16" s="2">
        <v>8.9445013000000007</v>
      </c>
      <c r="F16" s="2">
        <v>14.069671</v>
      </c>
      <c r="G16" s="2">
        <v>8.0870080000000009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>
      <c r="A17" t="s">
        <v>45</v>
      </c>
      <c r="B17" s="2">
        <v>1.9002648</v>
      </c>
      <c r="C17" s="2">
        <v>2.8288026999999998</v>
      </c>
      <c r="D17" s="2">
        <v>3.1164227000000002</v>
      </c>
      <c r="E17" s="2">
        <v>3.7002457</v>
      </c>
      <c r="F17" s="2">
        <v>5.3006770000000003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>
      <c r="A18" t="s">
        <v>46</v>
      </c>
      <c r="B18" s="2">
        <v>0.45072528000000001</v>
      </c>
      <c r="C18" s="2">
        <v>0.57728619999999997</v>
      </c>
      <c r="D18" s="2">
        <v>0.60123768</v>
      </c>
      <c r="E18" s="2">
        <v>0.95375536000000005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>
      <c r="A19" t="s">
        <v>50</v>
      </c>
      <c r="B19" s="2">
        <v>5.2640646000000002</v>
      </c>
      <c r="C19" s="2">
        <v>6.9965953000000001</v>
      </c>
      <c r="D19" s="2">
        <v>7.4158644999999996</v>
      </c>
      <c r="E19" s="2">
        <v>8.8555641000000005</v>
      </c>
      <c r="F19" s="2">
        <v>5.1889051999999998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>
      <c r="A20" t="s">
        <v>51</v>
      </c>
      <c r="B20" s="2">
        <v>5.678337</v>
      </c>
      <c r="C20" s="2">
        <v>7.2383546000000001</v>
      </c>
      <c r="D20" s="2">
        <v>6.5280455999999996</v>
      </c>
      <c r="E20" s="2">
        <v>5.8381125999999997</v>
      </c>
      <c r="F20" s="2">
        <v>5.2898120999999998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>
      <c r="A21" t="s">
        <v>52</v>
      </c>
      <c r="B21" s="2">
        <v>6.9553931000000002</v>
      </c>
      <c r="C21" s="2">
        <v>16.030154</v>
      </c>
      <c r="D21" s="2">
        <v>32.592998999999999</v>
      </c>
      <c r="E21" s="2">
        <v>22.866495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>
      <c r="A22" t="s">
        <v>53</v>
      </c>
      <c r="B22" s="2">
        <v>0</v>
      </c>
      <c r="C22" s="2">
        <v>4.3707993000000001E-2</v>
      </c>
      <c r="D22" s="2">
        <v>4.9044866999999999E-2</v>
      </c>
      <c r="E22" s="2">
        <v>5.6932844000000003E-2</v>
      </c>
      <c r="F22" s="2">
        <v>7.0391369999999995E-2</v>
      </c>
      <c r="G22" s="2">
        <v>9.9115138000000005E-2</v>
      </c>
      <c r="H22" s="2">
        <v>0.39068343999999999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>
      <c r="A23" t="s">
        <v>54</v>
      </c>
      <c r="B23" s="2">
        <v>0.14683387000000001</v>
      </c>
      <c r="C23" s="2">
        <v>0.19944634</v>
      </c>
      <c r="D23" s="2">
        <v>0.18371622000000001</v>
      </c>
      <c r="E23" s="2">
        <v>0.16863677999999999</v>
      </c>
      <c r="F23" s="2">
        <v>0.15346563999999999</v>
      </c>
      <c r="G23" s="2">
        <v>0.13773194</v>
      </c>
      <c r="H23" s="2">
        <v>0.12109971999999999</v>
      </c>
      <c r="I23" s="2">
        <v>0.10330729</v>
      </c>
      <c r="J23" s="2">
        <v>8.4151179000000007E-2</v>
      </c>
      <c r="K23" s="2">
        <v>6.3570465000000007E-2</v>
      </c>
      <c r="L23" s="2">
        <v>4.2037880999999999E-2</v>
      </c>
      <c r="M23" s="2">
        <v>2.1529942999999999E-2</v>
      </c>
      <c r="N23" s="2">
        <v>7.2207089E-3</v>
      </c>
      <c r="O23" s="2">
        <v>0</v>
      </c>
      <c r="P23" s="2">
        <v>0</v>
      </c>
    </row>
    <row r="24" spans="1:16">
      <c r="A24" t="s">
        <v>55</v>
      </c>
      <c r="B24" s="2">
        <v>129.08035000000001</v>
      </c>
      <c r="C24" s="2">
        <v>175.26245</v>
      </c>
      <c r="D24" s="2">
        <v>118.31115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6" spans="1:16">
      <c r="A26" t="s">
        <v>0</v>
      </c>
      <c r="B26" t="s">
        <v>56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  <c r="J26" t="s">
        <v>73</v>
      </c>
      <c r="K26" t="s">
        <v>65</v>
      </c>
      <c r="M26" t="s">
        <v>75</v>
      </c>
    </row>
    <row r="27" spans="1:16">
      <c r="A27" t="s">
        <v>34</v>
      </c>
      <c r="B27">
        <v>0.1</v>
      </c>
      <c r="C27">
        <v>20</v>
      </c>
      <c r="D27">
        <v>13</v>
      </c>
      <c r="E27">
        <v>0.58699999999999997</v>
      </c>
      <c r="F27">
        <v>5.0000000000000001E-3</v>
      </c>
      <c r="G27">
        <v>3</v>
      </c>
      <c r="H27">
        <v>5000</v>
      </c>
      <c r="I27">
        <v>0</v>
      </c>
      <c r="J27">
        <v>0</v>
      </c>
      <c r="K27">
        <f>C27*1.01</f>
        <v>20.2</v>
      </c>
      <c r="M27">
        <v>0</v>
      </c>
    </row>
    <row r="28" spans="1:16">
      <c r="A28" t="s">
        <v>35</v>
      </c>
      <c r="B28">
        <v>0.1</v>
      </c>
      <c r="C28">
        <v>99.99</v>
      </c>
      <c r="D28">
        <v>79.989999999999995</v>
      </c>
      <c r="E28">
        <v>0.58699999999999997</v>
      </c>
      <c r="F28">
        <v>3.0000000000000001E-3</v>
      </c>
      <c r="G28">
        <v>3.1219999999999999</v>
      </c>
      <c r="H28">
        <v>16.125</v>
      </c>
      <c r="I28">
        <v>1</v>
      </c>
      <c r="J28">
        <v>1</v>
      </c>
      <c r="K28">
        <f t="shared" ref="K28:K48" si="0">C28*1.01</f>
        <v>100.98989999999999</v>
      </c>
      <c r="M28">
        <v>1</v>
      </c>
    </row>
    <row r="29" spans="1:16">
      <c r="A29" t="s">
        <v>36</v>
      </c>
      <c r="B29">
        <v>0.14405000000000001</v>
      </c>
      <c r="C29">
        <v>114.1</v>
      </c>
      <c r="D29">
        <v>85</v>
      </c>
      <c r="E29">
        <v>0.58699999999999997</v>
      </c>
      <c r="F29">
        <v>4.0000000000000001E-3</v>
      </c>
      <c r="G29">
        <v>3.3170000000000002</v>
      </c>
      <c r="H29">
        <v>83.96</v>
      </c>
      <c r="I29">
        <v>1</v>
      </c>
      <c r="J29" t="s">
        <v>74</v>
      </c>
      <c r="K29">
        <f t="shared" si="0"/>
        <v>115.241</v>
      </c>
      <c r="M29">
        <v>1</v>
      </c>
    </row>
    <row r="30" spans="1:16">
      <c r="A30" t="s">
        <v>37</v>
      </c>
      <c r="B30">
        <v>0.35199999999999998</v>
      </c>
      <c r="C30">
        <v>53</v>
      </c>
      <c r="D30">
        <v>49.99</v>
      </c>
      <c r="E30">
        <v>0.58699999999999997</v>
      </c>
      <c r="F30">
        <v>5.0000000000000001E-3</v>
      </c>
      <c r="G30">
        <v>3.141</v>
      </c>
      <c r="H30">
        <v>24.51</v>
      </c>
      <c r="I30">
        <v>1</v>
      </c>
      <c r="J30" t="s">
        <v>74</v>
      </c>
      <c r="K30">
        <f t="shared" si="0"/>
        <v>53.53</v>
      </c>
      <c r="M30">
        <v>0</v>
      </c>
    </row>
    <row r="31" spans="1:16">
      <c r="A31" t="s">
        <v>38</v>
      </c>
      <c r="B31">
        <v>0.28000000000000003</v>
      </c>
      <c r="C31">
        <v>34.99</v>
      </c>
      <c r="D31">
        <v>25</v>
      </c>
      <c r="E31">
        <v>0.58699999999999997</v>
      </c>
      <c r="F31">
        <v>0.01</v>
      </c>
      <c r="G31">
        <v>2.99</v>
      </c>
      <c r="H31">
        <v>101.91</v>
      </c>
      <c r="I31">
        <v>1</v>
      </c>
      <c r="J31">
        <v>1</v>
      </c>
      <c r="K31">
        <f t="shared" si="0"/>
        <v>35.3399</v>
      </c>
      <c r="M31">
        <v>1</v>
      </c>
    </row>
    <row r="32" spans="1:16">
      <c r="A32" t="s">
        <v>39</v>
      </c>
      <c r="B32">
        <v>0.18</v>
      </c>
      <c r="C32">
        <v>65.400000000000006</v>
      </c>
      <c r="D32">
        <v>23</v>
      </c>
      <c r="E32">
        <v>0.58699999999999997</v>
      </c>
      <c r="F32">
        <v>7.0000000000000001E-3</v>
      </c>
      <c r="G32">
        <v>3.05</v>
      </c>
      <c r="H32">
        <v>25.8</v>
      </c>
      <c r="I32">
        <v>1</v>
      </c>
      <c r="J32">
        <v>0</v>
      </c>
      <c r="K32">
        <f t="shared" si="0"/>
        <v>66.054000000000002</v>
      </c>
      <c r="M32">
        <v>0</v>
      </c>
    </row>
    <row r="33" spans="1:13">
      <c r="A33" t="s">
        <v>40</v>
      </c>
      <c r="B33">
        <v>0.12</v>
      </c>
      <c r="C33">
        <v>148</v>
      </c>
      <c r="D33">
        <v>39.99</v>
      </c>
      <c r="E33">
        <v>0.14899999999999999</v>
      </c>
      <c r="F33">
        <v>8.9999999999999993E-3</v>
      </c>
      <c r="G33">
        <v>3.052</v>
      </c>
      <c r="H33">
        <v>71.17</v>
      </c>
      <c r="I33">
        <v>1</v>
      </c>
      <c r="J33">
        <v>1</v>
      </c>
      <c r="K33">
        <f t="shared" si="0"/>
        <v>149.47999999999999</v>
      </c>
      <c r="M33">
        <v>1</v>
      </c>
    </row>
    <row r="34" spans="1:13">
      <c r="A34" t="s">
        <v>41</v>
      </c>
      <c r="B34">
        <v>0.376</v>
      </c>
      <c r="C34">
        <v>73.8</v>
      </c>
      <c r="D34">
        <v>28</v>
      </c>
      <c r="E34">
        <v>0.3745</v>
      </c>
      <c r="F34">
        <v>0.01</v>
      </c>
      <c r="G34">
        <v>3.0680000000000001</v>
      </c>
      <c r="H34">
        <v>250.69</v>
      </c>
      <c r="I34">
        <v>1</v>
      </c>
      <c r="J34">
        <v>1</v>
      </c>
      <c r="K34">
        <f t="shared" si="0"/>
        <v>74.537999999999997</v>
      </c>
      <c r="M34">
        <v>1</v>
      </c>
    </row>
    <row r="35" spans="1:13">
      <c r="A35" t="s">
        <v>42</v>
      </c>
      <c r="B35">
        <v>0.1</v>
      </c>
      <c r="C35">
        <v>111</v>
      </c>
      <c r="D35">
        <v>39.99</v>
      </c>
      <c r="E35">
        <v>0.154</v>
      </c>
      <c r="F35">
        <v>0.01</v>
      </c>
      <c r="G35">
        <v>3.028</v>
      </c>
      <c r="H35">
        <v>27.31</v>
      </c>
      <c r="I35">
        <v>1</v>
      </c>
      <c r="J35">
        <v>0</v>
      </c>
      <c r="K35">
        <f t="shared" si="0"/>
        <v>112.11</v>
      </c>
      <c r="M35">
        <v>0</v>
      </c>
    </row>
    <row r="36" spans="1:13">
      <c r="A36" t="s">
        <v>43</v>
      </c>
      <c r="B36">
        <v>0.106</v>
      </c>
      <c r="C36">
        <v>136</v>
      </c>
      <c r="D36">
        <v>34</v>
      </c>
      <c r="E36">
        <v>0.13700000000000001</v>
      </c>
      <c r="F36">
        <v>6.0000000000000001E-3</v>
      </c>
      <c r="G36">
        <v>3.22</v>
      </c>
      <c r="H36">
        <v>3.01</v>
      </c>
      <c r="I36">
        <v>1</v>
      </c>
      <c r="J36">
        <v>0</v>
      </c>
      <c r="K36">
        <f t="shared" si="0"/>
        <v>137.36000000000001</v>
      </c>
      <c r="M36">
        <v>0</v>
      </c>
    </row>
    <row r="37" spans="1:13">
      <c r="A37" t="s">
        <v>44</v>
      </c>
      <c r="B37">
        <v>0.19</v>
      </c>
      <c r="C37">
        <v>60.2</v>
      </c>
      <c r="D37">
        <v>25</v>
      </c>
      <c r="E37">
        <v>0.50700000000000001</v>
      </c>
      <c r="F37">
        <v>5.0000000000000001E-3</v>
      </c>
      <c r="G37">
        <v>3.222</v>
      </c>
      <c r="H37">
        <v>10.75</v>
      </c>
      <c r="I37">
        <v>1</v>
      </c>
      <c r="J37">
        <v>0</v>
      </c>
      <c r="K37">
        <f t="shared" si="0"/>
        <v>60.802000000000007</v>
      </c>
      <c r="M37">
        <v>0</v>
      </c>
    </row>
    <row r="38" spans="1:13">
      <c r="A38" t="s">
        <v>48</v>
      </c>
      <c r="B38">
        <v>0.33500000000000002</v>
      </c>
      <c r="C38">
        <v>49.99</v>
      </c>
      <c r="D38">
        <v>25</v>
      </c>
      <c r="E38">
        <v>0.30599999999999999</v>
      </c>
      <c r="F38">
        <v>8.0000000000000002E-3</v>
      </c>
      <c r="G38">
        <v>3</v>
      </c>
      <c r="H38">
        <v>2.58</v>
      </c>
      <c r="I38">
        <v>1</v>
      </c>
      <c r="J38">
        <v>0</v>
      </c>
      <c r="K38">
        <f t="shared" si="0"/>
        <v>50.489900000000006</v>
      </c>
      <c r="M38">
        <v>0</v>
      </c>
    </row>
    <row r="39" spans="1:13">
      <c r="A39" t="s">
        <v>49</v>
      </c>
      <c r="B39">
        <v>0.17299999999999999</v>
      </c>
      <c r="C39">
        <v>137</v>
      </c>
      <c r="D39">
        <v>26</v>
      </c>
      <c r="E39">
        <v>0.30599999999999999</v>
      </c>
      <c r="F39">
        <v>7.0000000000000001E-3</v>
      </c>
      <c r="G39">
        <v>3.278</v>
      </c>
      <c r="H39">
        <v>0.43</v>
      </c>
      <c r="I39">
        <v>1</v>
      </c>
      <c r="J39">
        <v>0</v>
      </c>
      <c r="K39">
        <f t="shared" si="0"/>
        <v>138.37</v>
      </c>
      <c r="M39">
        <v>0</v>
      </c>
    </row>
    <row r="40" spans="1:13">
      <c r="A40" t="s">
        <v>47</v>
      </c>
      <c r="B40">
        <v>0.33500000000000002</v>
      </c>
      <c r="C40">
        <v>49.99</v>
      </c>
      <c r="D40">
        <v>23</v>
      </c>
      <c r="E40">
        <v>0.48699999999999999</v>
      </c>
      <c r="F40">
        <v>8.0000000000000002E-3</v>
      </c>
      <c r="G40">
        <v>3.129</v>
      </c>
      <c r="H40">
        <v>48.16</v>
      </c>
      <c r="I40">
        <v>1</v>
      </c>
      <c r="J40">
        <v>1</v>
      </c>
      <c r="K40">
        <f t="shared" si="0"/>
        <v>50.489900000000006</v>
      </c>
      <c r="M40">
        <v>1</v>
      </c>
    </row>
    <row r="41" spans="1:13">
      <c r="A41" t="s">
        <v>45</v>
      </c>
      <c r="B41">
        <v>0.28299999999999997</v>
      </c>
      <c r="C41">
        <v>45.5</v>
      </c>
      <c r="D41">
        <v>25</v>
      </c>
      <c r="E41">
        <v>0.58699999999999997</v>
      </c>
      <c r="F41">
        <v>1.0999999999999999E-2</v>
      </c>
      <c r="G41">
        <v>3.1379999999999999</v>
      </c>
      <c r="H41">
        <v>13.33</v>
      </c>
      <c r="I41">
        <v>1</v>
      </c>
      <c r="J41">
        <v>1</v>
      </c>
      <c r="K41">
        <f t="shared" si="0"/>
        <v>45.954999999999998</v>
      </c>
      <c r="M41">
        <v>1</v>
      </c>
    </row>
    <row r="42" spans="1:13">
      <c r="A42" t="s">
        <v>46</v>
      </c>
      <c r="B42">
        <v>0.23</v>
      </c>
      <c r="C42">
        <v>39.299999999999997</v>
      </c>
      <c r="D42">
        <v>19.989999999999998</v>
      </c>
      <c r="E42">
        <v>0.39200000000000002</v>
      </c>
      <c r="F42">
        <v>3.0000000000000001E-3</v>
      </c>
      <c r="G42">
        <v>3.4279999999999999</v>
      </c>
      <c r="H42">
        <v>0.86</v>
      </c>
      <c r="I42">
        <v>1</v>
      </c>
      <c r="J42">
        <v>0</v>
      </c>
      <c r="K42">
        <f t="shared" si="0"/>
        <v>39.692999999999998</v>
      </c>
      <c r="M42">
        <v>0</v>
      </c>
    </row>
    <row r="43" spans="1:13">
      <c r="A43" t="s">
        <v>50</v>
      </c>
      <c r="B43">
        <v>0.24199999999999999</v>
      </c>
      <c r="C43">
        <v>41</v>
      </c>
      <c r="D43">
        <v>22</v>
      </c>
      <c r="E43">
        <v>2.4300000000000002</v>
      </c>
      <c r="F43">
        <v>1.0999999999999999E-2</v>
      </c>
      <c r="G43">
        <v>3</v>
      </c>
      <c r="H43">
        <v>14.19</v>
      </c>
      <c r="I43">
        <v>1</v>
      </c>
      <c r="J43">
        <v>1</v>
      </c>
      <c r="K43">
        <f t="shared" si="0"/>
        <v>41.410000000000004</v>
      </c>
      <c r="M43">
        <v>0</v>
      </c>
    </row>
    <row r="44" spans="1:13">
      <c r="A44" t="s">
        <v>51</v>
      </c>
      <c r="B44">
        <v>0.24299999999999999</v>
      </c>
      <c r="C44">
        <v>46.1</v>
      </c>
      <c r="D44">
        <v>29.99</v>
      </c>
      <c r="E44">
        <v>0.64100000000000001</v>
      </c>
      <c r="F44">
        <v>7.0000000000000001E-3</v>
      </c>
      <c r="G44">
        <v>3.319</v>
      </c>
      <c r="H44">
        <v>23.87</v>
      </c>
      <c r="I44">
        <v>1</v>
      </c>
      <c r="J44">
        <v>1</v>
      </c>
      <c r="K44">
        <f t="shared" si="0"/>
        <v>46.561</v>
      </c>
      <c r="M44">
        <v>1</v>
      </c>
    </row>
    <row r="45" spans="1:13">
      <c r="A45" t="s">
        <v>52</v>
      </c>
      <c r="B45">
        <v>0.72</v>
      </c>
      <c r="C45">
        <v>29.99</v>
      </c>
      <c r="D45">
        <v>15</v>
      </c>
      <c r="E45">
        <v>0.58699999999999997</v>
      </c>
      <c r="F45">
        <v>0.01</v>
      </c>
      <c r="G45">
        <v>3.0779999999999998</v>
      </c>
      <c r="H45">
        <v>23.22</v>
      </c>
      <c r="I45">
        <v>0</v>
      </c>
      <c r="J45">
        <v>0</v>
      </c>
      <c r="K45">
        <f t="shared" si="0"/>
        <v>30.289899999999999</v>
      </c>
      <c r="M45">
        <v>0</v>
      </c>
    </row>
    <row r="46" spans="1:13">
      <c r="A46" t="s">
        <v>53</v>
      </c>
      <c r="B46">
        <v>0.72</v>
      </c>
      <c r="C46">
        <v>68</v>
      </c>
      <c r="D46">
        <v>25</v>
      </c>
      <c r="E46">
        <v>0.58699999999999997</v>
      </c>
      <c r="F46">
        <v>1.9E-2</v>
      </c>
      <c r="G46">
        <v>3.1</v>
      </c>
      <c r="H46">
        <v>3.2250000000000001</v>
      </c>
      <c r="I46">
        <v>0</v>
      </c>
      <c r="J46">
        <v>0</v>
      </c>
      <c r="K46">
        <f t="shared" si="0"/>
        <v>68.680000000000007</v>
      </c>
      <c r="M46">
        <v>1</v>
      </c>
    </row>
    <row r="47" spans="1:13">
      <c r="A47" t="s">
        <v>54</v>
      </c>
      <c r="B47">
        <v>0.108</v>
      </c>
      <c r="C47">
        <v>126</v>
      </c>
      <c r="D47">
        <v>49</v>
      </c>
      <c r="E47">
        <v>0.58699999999999997</v>
      </c>
      <c r="F47">
        <v>0.02</v>
      </c>
      <c r="G47">
        <v>2.8969999999999998</v>
      </c>
      <c r="H47">
        <v>6.45</v>
      </c>
      <c r="I47">
        <v>1</v>
      </c>
      <c r="J47">
        <v>0</v>
      </c>
      <c r="K47">
        <f t="shared" si="0"/>
        <v>127.26</v>
      </c>
      <c r="M47">
        <v>0</v>
      </c>
    </row>
    <row r="48" spans="1:13">
      <c r="A48" t="s">
        <v>55</v>
      </c>
      <c r="B48">
        <v>0.5</v>
      </c>
      <c r="C48">
        <v>24</v>
      </c>
      <c r="D48">
        <v>12</v>
      </c>
      <c r="E48">
        <v>0.58699999999999997</v>
      </c>
      <c r="F48">
        <v>3.0000000000000001E-3</v>
      </c>
      <c r="G48">
        <v>3.2109999999999999</v>
      </c>
      <c r="H48">
        <v>83.21</v>
      </c>
      <c r="I48">
        <v>0</v>
      </c>
      <c r="J48">
        <v>0</v>
      </c>
      <c r="K48">
        <f t="shared" si="0"/>
        <v>24.240000000000002</v>
      </c>
      <c r="M48">
        <v>1</v>
      </c>
    </row>
    <row r="51" spans="1:23">
      <c r="A51" t="s">
        <v>1</v>
      </c>
      <c r="B51" t="s">
        <v>71</v>
      </c>
    </row>
    <row r="52" spans="1:23">
      <c r="A52" t="s">
        <v>72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K52" t="s">
        <v>43</v>
      </c>
      <c r="L52" t="s">
        <v>44</v>
      </c>
      <c r="M52" t="s">
        <v>48</v>
      </c>
      <c r="N52" t="s">
        <v>49</v>
      </c>
      <c r="O52" t="s">
        <v>47</v>
      </c>
      <c r="P52" t="s">
        <v>45</v>
      </c>
      <c r="Q52" t="s">
        <v>46</v>
      </c>
      <c r="R52" t="s">
        <v>50</v>
      </c>
      <c r="S52" t="s">
        <v>51</v>
      </c>
      <c r="T52" t="s">
        <v>52</v>
      </c>
      <c r="U52" t="s">
        <v>53</v>
      </c>
      <c r="V52" t="s">
        <v>54</v>
      </c>
      <c r="W52" t="s">
        <v>55</v>
      </c>
    </row>
    <row r="53" spans="1:23">
      <c r="A53" t="s">
        <v>34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</row>
    <row r="54" spans="1:23">
      <c r="A54" t="s">
        <v>35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</row>
    <row r="55" spans="1:23">
      <c r="A55" t="s">
        <v>36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37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</row>
    <row r="57" spans="1:23">
      <c r="A57" t="s">
        <v>38</v>
      </c>
      <c r="B57">
        <v>0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</row>
    <row r="58" spans="1:23">
      <c r="A58" t="s">
        <v>39</v>
      </c>
      <c r="B58">
        <v>0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0</v>
      </c>
    </row>
    <row r="59" spans="1:23">
      <c r="A59" t="s">
        <v>40</v>
      </c>
      <c r="B59">
        <v>0</v>
      </c>
      <c r="C59">
        <v>1</v>
      </c>
      <c r="D59">
        <v>1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</row>
    <row r="60" spans="1:23">
      <c r="A60" t="s">
        <v>41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</row>
    <row r="61" spans="1:23">
      <c r="A61" t="s">
        <v>42</v>
      </c>
      <c r="B61">
        <v>0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</row>
    <row r="62" spans="1:23">
      <c r="A62" t="s">
        <v>43</v>
      </c>
      <c r="B62">
        <v>0</v>
      </c>
      <c r="C62">
        <v>1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1</v>
      </c>
      <c r="W62">
        <v>0</v>
      </c>
    </row>
    <row r="63" spans="1:23">
      <c r="A63" t="s">
        <v>44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0</v>
      </c>
    </row>
    <row r="64" spans="1:23">
      <c r="A64" t="s">
        <v>48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</row>
    <row r="65" spans="1:23">
      <c r="A65" t="s">
        <v>49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</row>
    <row r="66" spans="1:23">
      <c r="A66" t="s">
        <v>47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</row>
    <row r="67" spans="1:23">
      <c r="A67" t="s">
        <v>45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</row>
    <row r="68" spans="1:23">
      <c r="A68" t="s">
        <v>46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</row>
    <row r="69" spans="1:23">
      <c r="A69" t="s">
        <v>50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</row>
    <row r="70" spans="1:23">
      <c r="A70" t="s">
        <v>51</v>
      </c>
      <c r="B70">
        <v>0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</row>
    <row r="71" spans="1:23">
      <c r="A71" t="s">
        <v>52</v>
      </c>
      <c r="B71">
        <v>0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</row>
    <row r="72" spans="1:23">
      <c r="A72" t="s">
        <v>53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</row>
    <row r="73" spans="1:23">
      <c r="A73" t="s">
        <v>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</row>
    <row r="74" spans="1:23">
      <c r="A74" t="s">
        <v>55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</row>
    <row r="77" spans="1:23">
      <c r="B77" t="s">
        <v>2</v>
      </c>
      <c r="C77">
        <v>1</v>
      </c>
    </row>
    <row r="78" spans="1:23">
      <c r="B78" t="s">
        <v>3</v>
      </c>
      <c r="C78" t="s">
        <v>4</v>
      </c>
      <c r="D78" t="s">
        <v>5</v>
      </c>
    </row>
    <row r="79" spans="1:23">
      <c r="B79" t="s">
        <v>2</v>
      </c>
      <c r="C79">
        <v>2</v>
      </c>
    </row>
    <row r="80" spans="1:23">
      <c r="B80" t="s">
        <v>3</v>
      </c>
      <c r="C80" t="s">
        <v>6</v>
      </c>
      <c r="D80" t="s">
        <v>7</v>
      </c>
    </row>
    <row r="81" spans="2:5">
      <c r="B81" t="s">
        <v>2</v>
      </c>
      <c r="C81">
        <v>3</v>
      </c>
    </row>
    <row r="82" spans="2:5">
      <c r="B82" t="s">
        <v>3</v>
      </c>
      <c r="C82" t="s">
        <v>8</v>
      </c>
      <c r="D82" t="s">
        <v>9</v>
      </c>
      <c r="E82" t="s">
        <v>10</v>
      </c>
    </row>
    <row r="83" spans="2:5">
      <c r="B83" t="s">
        <v>2</v>
      </c>
      <c r="C83">
        <v>4</v>
      </c>
    </row>
    <row r="84" spans="2:5">
      <c r="B84" t="s">
        <v>3</v>
      </c>
      <c r="C84" t="s">
        <v>8</v>
      </c>
      <c r="D84" t="s">
        <v>11</v>
      </c>
      <c r="E84" t="s">
        <v>10</v>
      </c>
    </row>
    <row r="85" spans="2:5">
      <c r="B85" t="s">
        <v>2</v>
      </c>
      <c r="C85">
        <v>5</v>
      </c>
    </row>
    <row r="86" spans="2:5">
      <c r="B86" t="s">
        <v>3</v>
      </c>
      <c r="C86" t="s">
        <v>8</v>
      </c>
      <c r="D86" t="s">
        <v>12</v>
      </c>
      <c r="E86" t="s">
        <v>13</v>
      </c>
    </row>
    <row r="87" spans="2:5">
      <c r="B87" t="s">
        <v>2</v>
      </c>
      <c r="C87">
        <v>6</v>
      </c>
    </row>
    <row r="88" spans="2:5">
      <c r="B88" t="s">
        <v>3</v>
      </c>
      <c r="C88" t="s">
        <v>8</v>
      </c>
      <c r="D88" t="s">
        <v>14</v>
      </c>
      <c r="E88" t="s">
        <v>15</v>
      </c>
    </row>
    <row r="89" spans="2:5">
      <c r="B89" t="s">
        <v>2</v>
      </c>
      <c r="C89">
        <v>7</v>
      </c>
    </row>
    <row r="90" spans="2:5">
      <c r="B90" t="s">
        <v>3</v>
      </c>
      <c r="C90" t="s">
        <v>8</v>
      </c>
      <c r="D90" t="s">
        <v>12</v>
      </c>
      <c r="E90" t="s">
        <v>16</v>
      </c>
    </row>
    <row r="91" spans="2:5">
      <c r="B91" t="s">
        <v>2</v>
      </c>
      <c r="C91">
        <v>8</v>
      </c>
    </row>
    <row r="92" spans="2:5">
      <c r="B92" t="s">
        <v>3</v>
      </c>
      <c r="C92" t="s">
        <v>8</v>
      </c>
      <c r="D92" t="s">
        <v>17</v>
      </c>
    </row>
    <row r="93" spans="2:5">
      <c r="B93" t="s">
        <v>2</v>
      </c>
      <c r="C93">
        <v>9</v>
      </c>
    </row>
    <row r="94" spans="2:5">
      <c r="B94" t="s">
        <v>3</v>
      </c>
      <c r="C94" t="s">
        <v>8</v>
      </c>
      <c r="D94" t="s">
        <v>18</v>
      </c>
    </row>
    <row r="95" spans="2:5">
      <c r="B95" t="s">
        <v>2</v>
      </c>
      <c r="C95">
        <v>10</v>
      </c>
    </row>
    <row r="96" spans="2:5">
      <c r="B96" t="s">
        <v>3</v>
      </c>
      <c r="C96" t="s">
        <v>8</v>
      </c>
      <c r="D96" t="s">
        <v>19</v>
      </c>
      <c r="E96" t="s">
        <v>15</v>
      </c>
    </row>
    <row r="97" spans="2:5">
      <c r="B97" t="s">
        <v>2</v>
      </c>
      <c r="C97">
        <v>11</v>
      </c>
    </row>
    <row r="98" spans="2:5">
      <c r="B98" t="s">
        <v>3</v>
      </c>
      <c r="C98" t="s">
        <v>8</v>
      </c>
      <c r="D98" t="s">
        <v>20</v>
      </c>
      <c r="E98" t="s">
        <v>15</v>
      </c>
    </row>
    <row r="99" spans="2:5">
      <c r="B99" t="s">
        <v>2</v>
      </c>
      <c r="C99">
        <v>12</v>
      </c>
    </row>
    <row r="100" spans="2:5">
      <c r="B100" t="s">
        <v>3</v>
      </c>
      <c r="C100" t="s">
        <v>8</v>
      </c>
      <c r="D100" t="s">
        <v>21</v>
      </c>
      <c r="E100" t="s">
        <v>22</v>
      </c>
    </row>
    <row r="101" spans="2:5">
      <c r="B101" t="s">
        <v>2</v>
      </c>
      <c r="C101">
        <v>13</v>
      </c>
    </row>
    <row r="102" spans="2:5">
      <c r="B102" t="s">
        <v>3</v>
      </c>
      <c r="C102" t="s">
        <v>8</v>
      </c>
      <c r="D102" t="s">
        <v>23</v>
      </c>
      <c r="E102" t="s">
        <v>22</v>
      </c>
    </row>
    <row r="103" spans="2:5">
      <c r="B103" t="s">
        <v>2</v>
      </c>
      <c r="C103">
        <v>14</v>
      </c>
    </row>
    <row r="104" spans="2:5">
      <c r="B104" t="s">
        <v>3</v>
      </c>
      <c r="C104" t="s">
        <v>8</v>
      </c>
      <c r="D104" t="s">
        <v>24</v>
      </c>
      <c r="E104" t="s">
        <v>22</v>
      </c>
    </row>
    <row r="105" spans="2:5">
      <c r="B105" t="s">
        <v>2</v>
      </c>
      <c r="C105">
        <v>15</v>
      </c>
    </row>
    <row r="106" spans="2:5">
      <c r="B106" t="s">
        <v>3</v>
      </c>
      <c r="C106" t="s">
        <v>8</v>
      </c>
      <c r="D106" t="s">
        <v>9</v>
      </c>
      <c r="E106" t="s">
        <v>22</v>
      </c>
    </row>
    <row r="107" spans="2:5">
      <c r="B107" t="s">
        <v>2</v>
      </c>
      <c r="C107">
        <v>16</v>
      </c>
    </row>
    <row r="108" spans="2:5">
      <c r="B108" t="s">
        <v>3</v>
      </c>
      <c r="C108" t="s">
        <v>8</v>
      </c>
      <c r="D108" t="s">
        <v>25</v>
      </c>
      <c r="E108" t="s">
        <v>22</v>
      </c>
    </row>
    <row r="109" spans="2:5">
      <c r="B109" t="s">
        <v>2</v>
      </c>
      <c r="C109">
        <v>17</v>
      </c>
    </row>
    <row r="110" spans="2:5">
      <c r="B110" t="s">
        <v>3</v>
      </c>
      <c r="C110" t="s">
        <v>8</v>
      </c>
      <c r="D110" t="s">
        <v>26</v>
      </c>
    </row>
    <row r="111" spans="2:5">
      <c r="B111" t="s">
        <v>2</v>
      </c>
      <c r="C111">
        <v>18</v>
      </c>
    </row>
    <row r="112" spans="2:5">
      <c r="B112" t="s">
        <v>3</v>
      </c>
      <c r="C112" t="s">
        <v>8</v>
      </c>
      <c r="D112" t="s">
        <v>12</v>
      </c>
      <c r="E112" t="s">
        <v>27</v>
      </c>
    </row>
    <row r="113" spans="2:5">
      <c r="B113" t="s">
        <v>2</v>
      </c>
      <c r="C113">
        <v>19</v>
      </c>
    </row>
    <row r="114" spans="2:5">
      <c r="B114" t="s">
        <v>3</v>
      </c>
      <c r="C114" t="s">
        <v>8</v>
      </c>
      <c r="D114" t="s">
        <v>28</v>
      </c>
      <c r="E114" t="s">
        <v>29</v>
      </c>
    </row>
    <row r="115" spans="2:5">
      <c r="B115" t="s">
        <v>2</v>
      </c>
      <c r="C115">
        <v>20</v>
      </c>
    </row>
    <row r="116" spans="2:5">
      <c r="B116" t="s">
        <v>3</v>
      </c>
      <c r="C116" t="s">
        <v>8</v>
      </c>
      <c r="D116" t="s">
        <v>30</v>
      </c>
      <c r="E116" t="s">
        <v>31</v>
      </c>
    </row>
    <row r="117" spans="2:5">
      <c r="B117" t="s">
        <v>2</v>
      </c>
      <c r="C117">
        <v>21</v>
      </c>
    </row>
    <row r="118" spans="2:5">
      <c r="B118" t="s">
        <v>3</v>
      </c>
      <c r="C118" t="s">
        <v>8</v>
      </c>
      <c r="D118" t="s">
        <v>32</v>
      </c>
    </row>
    <row r="119" spans="2:5">
      <c r="B119" t="s">
        <v>2</v>
      </c>
      <c r="C119">
        <v>22</v>
      </c>
    </row>
    <row r="120" spans="2:5">
      <c r="B120" t="s">
        <v>3</v>
      </c>
      <c r="C120" t="s">
        <v>8</v>
      </c>
      <c r="D120" t="s">
        <v>33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topLeftCell="A25" workbookViewId="0">
      <selection activeCell="B63" sqref="B63:C63"/>
    </sheetView>
  </sheetViews>
  <sheetFormatPr baseColWidth="10" defaultColWidth="8.83203125" defaultRowHeight="14" x14ac:dyDescent="0"/>
  <sheetData>
    <row r="1" spans="1:25">
      <c r="B1">
        <v>9.8765333333333327</v>
      </c>
      <c r="C1">
        <v>9.8765333333333327</v>
      </c>
      <c r="D1">
        <v>9.8765333333333327</v>
      </c>
      <c r="E1">
        <v>9.8765333333333327</v>
      </c>
      <c r="F1">
        <v>9.8765333333333327</v>
      </c>
      <c r="G1">
        <v>9.8765333333333327</v>
      </c>
      <c r="H1">
        <v>9.8765333333333327</v>
      </c>
      <c r="I1">
        <v>9.8765333333333327</v>
      </c>
      <c r="J1">
        <v>9.8765333333333327</v>
      </c>
      <c r="K1">
        <v>9.8765333333333327</v>
      </c>
      <c r="L1">
        <v>9.8765333333333327</v>
      </c>
      <c r="M1">
        <v>9.8765333333333327</v>
      </c>
      <c r="N1">
        <v>9.8765333333333327</v>
      </c>
      <c r="O1">
        <v>9.8765333333333327</v>
      </c>
      <c r="P1">
        <v>9.8765333333333327</v>
      </c>
      <c r="Q1" t="s">
        <v>70</v>
      </c>
      <c r="R1" t="s">
        <v>66</v>
      </c>
    </row>
    <row r="2" spans="1:25">
      <c r="A2" t="s">
        <v>64</v>
      </c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110</v>
      </c>
      <c r="M2">
        <v>120</v>
      </c>
      <c r="N2">
        <v>130</v>
      </c>
      <c r="O2">
        <v>140</v>
      </c>
      <c r="P2">
        <v>150</v>
      </c>
      <c r="Q2" t="s">
        <v>75</v>
      </c>
      <c r="R2">
        <f>148*1.001</f>
        <v>148.148</v>
      </c>
      <c r="S2" t="s">
        <v>65</v>
      </c>
    </row>
    <row r="3" spans="1:25">
      <c r="A3" t="s">
        <v>35</v>
      </c>
      <c r="B3" s="2">
        <v>0.66268857999999997</v>
      </c>
      <c r="C3" s="2">
        <v>0.78275415000000004</v>
      </c>
      <c r="D3" s="2">
        <v>0.69471070000000001</v>
      </c>
      <c r="E3" s="2">
        <v>0.61053491999999998</v>
      </c>
      <c r="F3" s="2">
        <v>0.52648702999999997</v>
      </c>
      <c r="G3" s="2">
        <v>0.44055388000000001</v>
      </c>
      <c r="H3" s="2">
        <v>0.35183218999999999</v>
      </c>
      <c r="I3" s="2">
        <v>0.26060896</v>
      </c>
      <c r="J3" s="2">
        <v>0.16915631</v>
      </c>
      <c r="K3" s="2">
        <v>8.5657367999999998E-2</v>
      </c>
      <c r="L3" s="2">
        <v>1.4235365E-2</v>
      </c>
      <c r="M3" s="2">
        <v>0</v>
      </c>
      <c r="N3" s="2">
        <v>0</v>
      </c>
      <c r="O3" s="2">
        <v>0</v>
      </c>
      <c r="P3" s="2">
        <v>0</v>
      </c>
      <c r="Q3">
        <v>1</v>
      </c>
      <c r="R3">
        <v>15</v>
      </c>
      <c r="S3" t="s">
        <v>67</v>
      </c>
      <c r="T3" t="s">
        <v>68</v>
      </c>
    </row>
    <row r="4" spans="1:25">
      <c r="A4" t="s">
        <v>36</v>
      </c>
      <c r="B4" s="2">
        <v>1.5164249999999999</v>
      </c>
      <c r="C4" s="2">
        <v>2.3197348999999998</v>
      </c>
      <c r="D4" s="2">
        <v>2.2095006000000001</v>
      </c>
      <c r="E4" s="2">
        <v>2.1042627</v>
      </c>
      <c r="F4" s="2">
        <v>1.9980525</v>
      </c>
      <c r="G4" s="2">
        <v>1.8843574000000001</v>
      </c>
      <c r="H4" s="2">
        <v>1.7559598000000001</v>
      </c>
      <c r="I4" s="2">
        <v>1.6025068</v>
      </c>
      <c r="J4" s="2">
        <v>1.4068569</v>
      </c>
      <c r="K4" s="2">
        <v>1.1422228999999999</v>
      </c>
      <c r="L4" s="2">
        <v>0.78245253000000003</v>
      </c>
      <c r="M4" s="2">
        <v>0.34917710000000002</v>
      </c>
      <c r="N4" s="2">
        <v>0</v>
      </c>
      <c r="O4" s="2">
        <v>0</v>
      </c>
      <c r="P4" s="2">
        <v>0</v>
      </c>
      <c r="Q4">
        <v>1</v>
      </c>
      <c r="R4">
        <f>R2/R3</f>
        <v>9.8765333333333327</v>
      </c>
      <c r="S4" t="s">
        <v>69</v>
      </c>
    </row>
    <row r="5" spans="1:25">
      <c r="A5" t="s">
        <v>38</v>
      </c>
      <c r="B5" s="2">
        <v>80.697299000000001</v>
      </c>
      <c r="C5" s="2">
        <v>85.853258999999994</v>
      </c>
      <c r="D5" s="2">
        <v>58.989362999999997</v>
      </c>
      <c r="E5" s="2">
        <v>30.434225999999999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>
        <v>1</v>
      </c>
    </row>
    <row r="6" spans="1:25">
      <c r="A6" t="s">
        <v>40</v>
      </c>
      <c r="B6" s="2">
        <v>1.0007063</v>
      </c>
      <c r="C6" s="2">
        <v>1.4690810000000001</v>
      </c>
      <c r="D6" s="2">
        <v>1.1813408000000001</v>
      </c>
      <c r="E6" s="2">
        <v>0.94423672000000003</v>
      </c>
      <c r="F6" s="2">
        <v>0.76798</v>
      </c>
      <c r="G6" s="2">
        <v>0.63579078</v>
      </c>
      <c r="H6" s="2">
        <v>0.53201978000000005</v>
      </c>
      <c r="I6" s="2">
        <v>0.44576676999999998</v>
      </c>
      <c r="J6" s="2">
        <v>0.37443163000000002</v>
      </c>
      <c r="K6" s="2">
        <v>0.30532796000000001</v>
      </c>
      <c r="L6" s="2">
        <v>0.23426737</v>
      </c>
      <c r="M6" s="2">
        <v>0.16154442999999999</v>
      </c>
      <c r="N6" s="2">
        <v>9.2194445E-2</v>
      </c>
      <c r="O6" s="2">
        <v>3.3492511000000003E-2</v>
      </c>
      <c r="P6" s="2">
        <v>5.6977633999999999E-3</v>
      </c>
      <c r="Q6">
        <v>1</v>
      </c>
    </row>
    <row r="7" spans="1:25">
      <c r="A7" t="s">
        <v>41</v>
      </c>
      <c r="B7" s="2">
        <v>4.2530649</v>
      </c>
      <c r="C7" s="2">
        <v>10.51529</v>
      </c>
      <c r="D7" s="2">
        <v>10.007216</v>
      </c>
      <c r="E7" s="2">
        <v>9.5831648999999999</v>
      </c>
      <c r="F7" s="2">
        <v>9.4794295000000002</v>
      </c>
      <c r="G7" s="2">
        <v>9.8232771999999997</v>
      </c>
      <c r="H7" s="2">
        <v>11.135063000000001</v>
      </c>
      <c r="I7" s="2">
        <v>12.677524999999999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>
        <v>1</v>
      </c>
    </row>
    <row r="8" spans="1:25">
      <c r="A8" t="s">
        <v>47</v>
      </c>
      <c r="B8" s="2">
        <v>3.9070122999999999</v>
      </c>
      <c r="C8" s="2">
        <v>6.6463913000000003</v>
      </c>
      <c r="D8" s="2">
        <v>7.4657787000000004</v>
      </c>
      <c r="E8" s="2">
        <v>8.9445013000000007</v>
      </c>
      <c r="F8" s="2">
        <v>14.069671</v>
      </c>
      <c r="G8" s="2">
        <v>8.0870080000000009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>
        <v>1</v>
      </c>
    </row>
    <row r="9" spans="1:25">
      <c r="A9" t="s">
        <v>45</v>
      </c>
      <c r="B9" s="2">
        <v>1.9002648</v>
      </c>
      <c r="C9" s="2">
        <v>2.8288026999999998</v>
      </c>
      <c r="D9" s="2">
        <v>3.1164227000000002</v>
      </c>
      <c r="E9" s="2">
        <v>3.7002457</v>
      </c>
      <c r="F9" s="2">
        <v>5.3006770000000003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>
        <v>1</v>
      </c>
    </row>
    <row r="10" spans="1:25">
      <c r="A10" t="s">
        <v>51</v>
      </c>
      <c r="B10" s="2">
        <v>5.678337</v>
      </c>
      <c r="C10" s="2">
        <v>7.2383546000000001</v>
      </c>
      <c r="D10" s="2">
        <v>6.5280455999999996</v>
      </c>
      <c r="E10" s="2">
        <v>5.8381125999999997</v>
      </c>
      <c r="F10" s="2">
        <v>5.2898120999999998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>
        <v>1</v>
      </c>
    </row>
    <row r="11" spans="1:25">
      <c r="A11" t="s">
        <v>53</v>
      </c>
      <c r="B11" s="2">
        <v>0</v>
      </c>
      <c r="C11" s="2">
        <v>4.3707993000000001E-2</v>
      </c>
      <c r="D11" s="2">
        <v>4.9044866999999999E-2</v>
      </c>
      <c r="E11" s="2">
        <v>5.6932844000000003E-2</v>
      </c>
      <c r="F11" s="2">
        <v>7.0391369999999995E-2</v>
      </c>
      <c r="G11" s="2">
        <v>9.9115138000000005E-2</v>
      </c>
      <c r="H11" s="2">
        <v>0.39068343999999999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>
        <v>1</v>
      </c>
      <c r="X11" t="s">
        <v>117</v>
      </c>
      <c r="Y11" t="s">
        <v>118</v>
      </c>
    </row>
    <row r="12" spans="1:25">
      <c r="A12" t="s">
        <v>55</v>
      </c>
      <c r="B12" s="2">
        <v>129.08035000000001</v>
      </c>
      <c r="C12" s="2">
        <v>175.26245</v>
      </c>
      <c r="D12" s="2">
        <v>118.31115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>
        <v>1</v>
      </c>
      <c r="U12" t="s">
        <v>96</v>
      </c>
      <c r="X12" t="s">
        <v>116</v>
      </c>
    </row>
    <row r="13" spans="1:25">
      <c r="N13" t="s">
        <v>70</v>
      </c>
      <c r="U13" t="s">
        <v>95</v>
      </c>
      <c r="X13" t="s">
        <v>119</v>
      </c>
    </row>
    <row r="14" spans="1:25">
      <c r="A14" t="s">
        <v>0</v>
      </c>
      <c r="B14" t="s">
        <v>56</v>
      </c>
      <c r="C14" t="s">
        <v>57</v>
      </c>
      <c r="D14" t="s">
        <v>91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73</v>
      </c>
      <c r="K14" t="s">
        <v>65</v>
      </c>
      <c r="L14" t="s">
        <v>76</v>
      </c>
      <c r="M14" t="s">
        <v>75</v>
      </c>
      <c r="T14" t="s">
        <v>92</v>
      </c>
      <c r="U14" t="s">
        <v>93</v>
      </c>
      <c r="V14" t="s">
        <v>94</v>
      </c>
      <c r="X14" t="s">
        <v>93</v>
      </c>
      <c r="Y14" t="s">
        <v>94</v>
      </c>
    </row>
    <row r="15" spans="1:25">
      <c r="A15" t="s">
        <v>35</v>
      </c>
      <c r="B15">
        <v>0.1</v>
      </c>
      <c r="C15">
        <v>99.99</v>
      </c>
      <c r="D15">
        <v>79.989999999999995</v>
      </c>
      <c r="E15">
        <v>0.58699999999999997</v>
      </c>
      <c r="F15">
        <v>3.0000000000000001E-3</v>
      </c>
      <c r="G15">
        <v>3.1219999999999999</v>
      </c>
      <c r="H15">
        <v>16.125</v>
      </c>
      <c r="I15">
        <v>1</v>
      </c>
      <c r="J15">
        <v>1</v>
      </c>
      <c r="K15">
        <f t="shared" ref="K15:K24" si="0">C15*1.01</f>
        <v>100.98989999999999</v>
      </c>
      <c r="L15">
        <f>SUM(N15:R15)</f>
        <v>110</v>
      </c>
      <c r="M15">
        <v>1</v>
      </c>
      <c r="N15">
        <v>20</v>
      </c>
      <c r="O15">
        <v>20</v>
      </c>
      <c r="P15">
        <v>20</v>
      </c>
      <c r="Q15">
        <v>20</v>
      </c>
      <c r="R15">
        <v>30</v>
      </c>
      <c r="T15">
        <v>4</v>
      </c>
      <c r="U15">
        <v>-5</v>
      </c>
      <c r="V15">
        <v>0.1</v>
      </c>
      <c r="W15" t="s">
        <v>35</v>
      </c>
    </row>
    <row r="16" spans="1:25">
      <c r="A16" t="s">
        <v>36</v>
      </c>
      <c r="B16">
        <v>0.14405000000000001</v>
      </c>
      <c r="C16">
        <v>114.1</v>
      </c>
      <c r="D16">
        <v>85</v>
      </c>
      <c r="E16">
        <v>0.58699999999999997</v>
      </c>
      <c r="F16">
        <v>4.0000000000000001E-3</v>
      </c>
      <c r="G16">
        <v>3.3170000000000002</v>
      </c>
      <c r="H16">
        <v>83.96</v>
      </c>
      <c r="I16">
        <v>1</v>
      </c>
      <c r="J16" t="s">
        <v>74</v>
      </c>
      <c r="K16">
        <f t="shared" si="0"/>
        <v>115.241</v>
      </c>
      <c r="L16">
        <f t="shared" ref="L16:L24" si="1">SUM(N16:R16)</f>
        <v>120</v>
      </c>
      <c r="M16">
        <v>1</v>
      </c>
      <c r="N16">
        <v>20</v>
      </c>
      <c r="O16">
        <v>20</v>
      </c>
      <c r="P16">
        <v>20</v>
      </c>
      <c r="Q16">
        <v>20</v>
      </c>
      <c r="R16">
        <v>40</v>
      </c>
      <c r="T16">
        <v>5</v>
      </c>
      <c r="U16">
        <v>-5</v>
      </c>
      <c r="V16">
        <v>0.1</v>
      </c>
      <c r="W16" t="s">
        <v>36</v>
      </c>
    </row>
    <row r="17" spans="1:26">
      <c r="A17" t="s">
        <v>38</v>
      </c>
      <c r="B17">
        <v>0.28000000000000003</v>
      </c>
      <c r="C17">
        <v>34.99</v>
      </c>
      <c r="D17">
        <v>25</v>
      </c>
      <c r="E17">
        <v>0.58699999999999997</v>
      </c>
      <c r="F17">
        <v>0.01</v>
      </c>
      <c r="G17">
        <v>2.99</v>
      </c>
      <c r="H17">
        <v>101.91</v>
      </c>
      <c r="I17">
        <v>1</v>
      </c>
      <c r="J17">
        <v>1</v>
      </c>
      <c r="K17">
        <f t="shared" si="0"/>
        <v>35.3399</v>
      </c>
      <c r="L17">
        <f t="shared" si="1"/>
        <v>40</v>
      </c>
      <c r="M17">
        <v>1</v>
      </c>
      <c r="N17">
        <v>5</v>
      </c>
      <c r="O17">
        <v>5</v>
      </c>
      <c r="P17">
        <v>10</v>
      </c>
      <c r="Q17">
        <v>10</v>
      </c>
      <c r="R17">
        <v>10</v>
      </c>
      <c r="T17">
        <v>5</v>
      </c>
      <c r="U17">
        <v>-5</v>
      </c>
      <c r="V17">
        <v>0.2</v>
      </c>
      <c r="W17" t="s">
        <v>38</v>
      </c>
      <c r="X17">
        <f>AVERAGE(-28.484,-40.461)</f>
        <v>-34.472499999999997</v>
      </c>
      <c r="Y17">
        <f>AVERAGE(1.123,1.597)</f>
        <v>1.3599999999999999</v>
      </c>
    </row>
    <row r="18" spans="1:26">
      <c r="A18" t="s">
        <v>40</v>
      </c>
      <c r="B18">
        <v>0.12</v>
      </c>
      <c r="C18">
        <v>148</v>
      </c>
      <c r="D18">
        <v>39.99</v>
      </c>
      <c r="E18">
        <v>0.14899999999999999</v>
      </c>
      <c r="F18">
        <v>8.9999999999999993E-3</v>
      </c>
      <c r="G18">
        <v>3.052</v>
      </c>
      <c r="H18">
        <v>71.17</v>
      </c>
      <c r="I18">
        <v>1</v>
      </c>
      <c r="J18">
        <v>1</v>
      </c>
      <c r="K18">
        <f t="shared" si="0"/>
        <v>149.47999999999999</v>
      </c>
      <c r="L18">
        <f t="shared" si="1"/>
        <v>150</v>
      </c>
      <c r="M18">
        <v>1</v>
      </c>
      <c r="N18">
        <v>20</v>
      </c>
      <c r="O18">
        <v>20</v>
      </c>
      <c r="P18">
        <v>20</v>
      </c>
      <c r="Q18">
        <v>40</v>
      </c>
      <c r="R18">
        <v>50</v>
      </c>
      <c r="T18">
        <v>3</v>
      </c>
      <c r="U18">
        <v>-5</v>
      </c>
      <c r="V18">
        <v>0.16</v>
      </c>
      <c r="W18" t="s">
        <v>40</v>
      </c>
      <c r="X18">
        <f>AVERAGE(-4.932,-5.688)</f>
        <v>-5.3100000000000005</v>
      </c>
      <c r="Y18">
        <f>AVERAGE(0.127,0.139)</f>
        <v>0.13300000000000001</v>
      </c>
      <c r="Z18" t="s">
        <v>120</v>
      </c>
    </row>
    <row r="19" spans="1:26">
      <c r="A19" t="s">
        <v>41</v>
      </c>
      <c r="B19">
        <v>0.376</v>
      </c>
      <c r="C19">
        <v>73.8</v>
      </c>
      <c r="D19">
        <v>28</v>
      </c>
      <c r="E19">
        <v>0.3745</v>
      </c>
      <c r="F19">
        <v>0.01</v>
      </c>
      <c r="G19">
        <v>3.0680000000000001</v>
      </c>
      <c r="H19">
        <v>250.69</v>
      </c>
      <c r="I19">
        <v>1</v>
      </c>
      <c r="J19">
        <v>1</v>
      </c>
      <c r="K19">
        <f t="shared" si="0"/>
        <v>74.537999999999997</v>
      </c>
      <c r="L19">
        <f t="shared" si="1"/>
        <v>80</v>
      </c>
      <c r="M19">
        <v>1</v>
      </c>
      <c r="N19">
        <v>10</v>
      </c>
      <c r="O19">
        <v>10</v>
      </c>
      <c r="P19">
        <v>20</v>
      </c>
      <c r="Q19">
        <v>20</v>
      </c>
      <c r="R19">
        <v>20</v>
      </c>
      <c r="T19">
        <v>3</v>
      </c>
      <c r="U19">
        <v>-5</v>
      </c>
      <c r="V19">
        <v>0.13</v>
      </c>
      <c r="W19" t="s">
        <v>41</v>
      </c>
      <c r="X19">
        <f>AVERAGE(-6.252,-5.064)</f>
        <v>-5.6579999999999995</v>
      </c>
      <c r="Y19">
        <f>AVERAGE(0.21,0.189)</f>
        <v>0.19950000000000001</v>
      </c>
      <c r="Z19" t="s">
        <v>120</v>
      </c>
    </row>
    <row r="20" spans="1:26">
      <c r="A20" t="s">
        <v>47</v>
      </c>
      <c r="B20">
        <v>0.33500000000000002</v>
      </c>
      <c r="C20">
        <v>49.99</v>
      </c>
      <c r="D20">
        <v>23</v>
      </c>
      <c r="E20">
        <v>0.48699999999999999</v>
      </c>
      <c r="F20">
        <v>8.0000000000000002E-3</v>
      </c>
      <c r="G20">
        <v>3.129</v>
      </c>
      <c r="H20">
        <v>48.16</v>
      </c>
      <c r="I20">
        <v>1</v>
      </c>
      <c r="J20">
        <v>1</v>
      </c>
      <c r="K20">
        <f t="shared" si="0"/>
        <v>50.489900000000006</v>
      </c>
      <c r="L20">
        <f t="shared" si="1"/>
        <v>60</v>
      </c>
      <c r="M20">
        <v>1</v>
      </c>
      <c r="N20">
        <v>10</v>
      </c>
      <c r="O20">
        <v>10</v>
      </c>
      <c r="P20">
        <v>10</v>
      </c>
      <c r="Q20">
        <v>10</v>
      </c>
      <c r="R20">
        <v>20</v>
      </c>
      <c r="T20">
        <v>3</v>
      </c>
      <c r="U20">
        <v>-5</v>
      </c>
      <c r="V20">
        <v>0.2</v>
      </c>
      <c r="W20" t="s">
        <v>47</v>
      </c>
      <c r="X20">
        <f>AVERAGE(-15.136,-8.145)</f>
        <v>-11.640499999999999</v>
      </c>
      <c r="Y20">
        <f>AVERAGE(0.587,0.381)</f>
        <v>0.48399999999999999</v>
      </c>
      <c r="Z20" t="s">
        <v>120</v>
      </c>
    </row>
    <row r="21" spans="1:26">
      <c r="A21" t="s">
        <v>45</v>
      </c>
      <c r="B21">
        <v>0.28299999999999997</v>
      </c>
      <c r="C21">
        <v>45.5</v>
      </c>
      <c r="D21">
        <v>25</v>
      </c>
      <c r="E21">
        <v>0.58699999999999997</v>
      </c>
      <c r="F21">
        <v>1.0999999999999999E-2</v>
      </c>
      <c r="G21">
        <v>3.1379999999999999</v>
      </c>
      <c r="H21">
        <v>13.33</v>
      </c>
      <c r="I21">
        <v>1</v>
      </c>
      <c r="J21">
        <v>1</v>
      </c>
      <c r="K21">
        <f t="shared" si="0"/>
        <v>45.954999999999998</v>
      </c>
      <c r="L21">
        <f t="shared" si="1"/>
        <v>50</v>
      </c>
      <c r="M21">
        <v>1</v>
      </c>
      <c r="N21">
        <v>10</v>
      </c>
      <c r="O21">
        <v>10</v>
      </c>
      <c r="P21">
        <v>10</v>
      </c>
      <c r="Q21">
        <v>10</v>
      </c>
      <c r="R21">
        <v>10</v>
      </c>
      <c r="T21">
        <v>3</v>
      </c>
      <c r="U21">
        <v>-5</v>
      </c>
      <c r="V21">
        <v>0.2</v>
      </c>
      <c r="W21" t="s">
        <v>45</v>
      </c>
      <c r="X21">
        <f>AVERAGE(-10.855,-7.724)</f>
        <v>-9.2895000000000003</v>
      </c>
      <c r="Y21">
        <f>AVERAGE(0.436,0.301)</f>
        <v>0.36849999999999999</v>
      </c>
      <c r="Z21" t="s">
        <v>120</v>
      </c>
    </row>
    <row r="22" spans="1:26">
      <c r="A22" t="s">
        <v>51</v>
      </c>
      <c r="B22">
        <v>0.24299999999999999</v>
      </c>
      <c r="C22">
        <v>46.1</v>
      </c>
      <c r="D22">
        <v>29.99</v>
      </c>
      <c r="E22">
        <v>0.64100000000000001</v>
      </c>
      <c r="F22">
        <v>7.0000000000000001E-3</v>
      </c>
      <c r="G22">
        <v>3.319</v>
      </c>
      <c r="H22">
        <v>23.87</v>
      </c>
      <c r="I22">
        <v>1</v>
      </c>
      <c r="J22">
        <v>1</v>
      </c>
      <c r="K22">
        <f t="shared" si="0"/>
        <v>46.561</v>
      </c>
      <c r="L22">
        <f t="shared" si="1"/>
        <v>50</v>
      </c>
      <c r="M22">
        <v>1</v>
      </c>
      <c r="N22">
        <v>10</v>
      </c>
      <c r="O22">
        <v>10</v>
      </c>
      <c r="P22">
        <v>10</v>
      </c>
      <c r="Q22">
        <v>10</v>
      </c>
      <c r="R22">
        <v>10</v>
      </c>
      <c r="T22">
        <v>3</v>
      </c>
      <c r="U22">
        <v>-5</v>
      </c>
      <c r="V22">
        <v>0.2</v>
      </c>
      <c r="W22" t="s">
        <v>51</v>
      </c>
      <c r="X22">
        <f>AVERAGE(-16.475,-17.102)</f>
        <v>-16.788499999999999</v>
      </c>
      <c r="Y22">
        <f>AVERAGE(0.641,0.658)</f>
        <v>0.64949999999999997</v>
      </c>
    </row>
    <row r="23" spans="1:26">
      <c r="A23" t="s">
        <v>53</v>
      </c>
      <c r="B23">
        <v>0.72</v>
      </c>
      <c r="C23">
        <v>68</v>
      </c>
      <c r="D23">
        <v>25</v>
      </c>
      <c r="E23">
        <v>0.58699999999999997</v>
      </c>
      <c r="F23">
        <v>1.9E-2</v>
      </c>
      <c r="G23">
        <v>3.1</v>
      </c>
      <c r="H23">
        <v>3.2250000000000001</v>
      </c>
      <c r="I23">
        <v>0</v>
      </c>
      <c r="J23">
        <v>0</v>
      </c>
      <c r="K23">
        <f t="shared" si="0"/>
        <v>68.680000000000007</v>
      </c>
      <c r="L23">
        <f t="shared" si="1"/>
        <v>70</v>
      </c>
      <c r="M23">
        <v>1</v>
      </c>
      <c r="N23">
        <v>10</v>
      </c>
      <c r="O23">
        <v>10</v>
      </c>
      <c r="P23">
        <v>10</v>
      </c>
      <c r="Q23">
        <v>20</v>
      </c>
      <c r="R23">
        <v>20</v>
      </c>
      <c r="T23">
        <v>3</v>
      </c>
      <c r="U23">
        <v>-5</v>
      </c>
      <c r="V23">
        <v>0.2</v>
      </c>
      <c r="W23" t="s">
        <v>53</v>
      </c>
    </row>
    <row r="24" spans="1:26">
      <c r="A24" t="s">
        <v>55</v>
      </c>
      <c r="B24">
        <v>0.5</v>
      </c>
      <c r="C24">
        <v>24</v>
      </c>
      <c r="D24">
        <v>12</v>
      </c>
      <c r="E24">
        <v>0.58699999999999997</v>
      </c>
      <c r="F24">
        <v>3.0000000000000001E-3</v>
      </c>
      <c r="G24">
        <v>3.2109999999999999</v>
      </c>
      <c r="H24">
        <v>83.21</v>
      </c>
      <c r="I24">
        <v>0</v>
      </c>
      <c r="J24">
        <v>0</v>
      </c>
      <c r="K24">
        <f t="shared" si="0"/>
        <v>24.240000000000002</v>
      </c>
      <c r="L24">
        <f t="shared" si="1"/>
        <v>30</v>
      </c>
      <c r="M24">
        <v>1</v>
      </c>
      <c r="N24">
        <v>5</v>
      </c>
      <c r="O24">
        <v>5</v>
      </c>
      <c r="P24">
        <v>5</v>
      </c>
      <c r="Q24">
        <v>5</v>
      </c>
      <c r="R24">
        <v>10</v>
      </c>
      <c r="T24">
        <v>5</v>
      </c>
      <c r="U24">
        <v>-5</v>
      </c>
      <c r="V24">
        <v>0.3</v>
      </c>
      <c r="W24" t="s">
        <v>55</v>
      </c>
    </row>
    <row r="25" spans="1:26">
      <c r="O25" t="s">
        <v>83</v>
      </c>
      <c r="X25" t="s">
        <v>127</v>
      </c>
    </row>
    <row r="26" spans="1:26">
      <c r="O26" t="s">
        <v>77</v>
      </c>
    </row>
    <row r="27" spans="1:26">
      <c r="A27" t="s">
        <v>1</v>
      </c>
      <c r="B27" t="s">
        <v>71</v>
      </c>
      <c r="O27" t="s">
        <v>78</v>
      </c>
      <c r="P27" t="s">
        <v>79</v>
      </c>
      <c r="Q27" t="s">
        <v>80</v>
      </c>
      <c r="R27" t="s">
        <v>81</v>
      </c>
      <c r="S27" t="s">
        <v>82</v>
      </c>
    </row>
    <row r="28" spans="1:26">
      <c r="A28" t="s">
        <v>72</v>
      </c>
      <c r="B28" t="s">
        <v>35</v>
      </c>
      <c r="C28" t="s">
        <v>36</v>
      </c>
      <c r="D28" t="s">
        <v>38</v>
      </c>
      <c r="E28" t="s">
        <v>40</v>
      </c>
      <c r="F28" t="s">
        <v>41</v>
      </c>
      <c r="G28" t="s">
        <v>47</v>
      </c>
      <c r="H28" t="s">
        <v>45</v>
      </c>
      <c r="I28" t="s">
        <v>51</v>
      </c>
      <c r="J28" t="s">
        <v>53</v>
      </c>
      <c r="K28" t="s">
        <v>55</v>
      </c>
      <c r="N28" t="s">
        <v>35</v>
      </c>
      <c r="O28">
        <f>SUM(B3:C3)</f>
        <v>1.4454427299999999</v>
      </c>
      <c r="P28">
        <f>SUM(D3:E3)</f>
        <v>1.30524562</v>
      </c>
      <c r="Q28">
        <f>SUM(F3:G3)</f>
        <v>0.96704090999999992</v>
      </c>
      <c r="R28">
        <f>SUM(H3:I3)</f>
        <v>0.61244114999999999</v>
      </c>
      <c r="S28">
        <f>SUM(J3:L3)</f>
        <v>0.26904904299999999</v>
      </c>
    </row>
    <row r="29" spans="1:26">
      <c r="A29" t="s">
        <v>35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 t="s">
        <v>36</v>
      </c>
      <c r="O29">
        <f>SUM(B4:C4)</f>
        <v>3.8361598999999997</v>
      </c>
      <c r="P29">
        <f>SUM(D4:E4)</f>
        <v>4.3137632999999997</v>
      </c>
      <c r="Q29">
        <f>SUM(F4:G4)</f>
        <v>3.8824098999999999</v>
      </c>
      <c r="R29">
        <f>SUM(H4:I4)</f>
        <v>3.3584665999999999</v>
      </c>
      <c r="S29">
        <f>SUM(J4:M4)</f>
        <v>3.6807094299999998</v>
      </c>
    </row>
    <row r="30" spans="1:26">
      <c r="A30" t="s">
        <v>36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 t="s">
        <v>38</v>
      </c>
      <c r="O30">
        <f>B5/2</f>
        <v>40.348649500000001</v>
      </c>
      <c r="P30">
        <f>B5/2</f>
        <v>40.348649500000001</v>
      </c>
      <c r="Q30">
        <f>C5</f>
        <v>85.853258999999994</v>
      </c>
      <c r="R30">
        <f>D5</f>
        <v>58.989362999999997</v>
      </c>
      <c r="S30">
        <f>E5</f>
        <v>30.434225999999999</v>
      </c>
    </row>
    <row r="31" spans="1:26">
      <c r="A31" t="s">
        <v>38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N31" t="s">
        <v>40</v>
      </c>
      <c r="O31">
        <f>B6+C6</f>
        <v>2.4697873000000001</v>
      </c>
      <c r="P31">
        <f>D6+E6</f>
        <v>2.1255775200000002</v>
      </c>
      <c r="Q31">
        <f>SUM(F6:G6)</f>
        <v>1.4037707799999999</v>
      </c>
      <c r="R31">
        <f>SUM(H6:K6)</f>
        <v>1.65754614</v>
      </c>
      <c r="S31">
        <f>SUM(L6:P6)</f>
        <v>0.5271965193999999</v>
      </c>
    </row>
    <row r="32" spans="1:26">
      <c r="A32" t="s">
        <v>40</v>
      </c>
      <c r="B32">
        <v>1</v>
      </c>
      <c r="C32">
        <v>1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N32" t="s">
        <v>41</v>
      </c>
      <c r="O32">
        <f t="shared" ref="O32:P35" si="2">B7</f>
        <v>4.2530649</v>
      </c>
      <c r="P32">
        <f t="shared" si="2"/>
        <v>10.51529</v>
      </c>
      <c r="Q32">
        <f>SUM(D7:E7)</f>
        <v>19.5903809</v>
      </c>
      <c r="R32">
        <f>SUM(F7:G7)</f>
        <v>19.302706700000002</v>
      </c>
      <c r="S32">
        <f>SUM(H7:I7)</f>
        <v>23.812587999999998</v>
      </c>
    </row>
    <row r="33" spans="1:20">
      <c r="A33" t="s">
        <v>41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N33" t="s">
        <v>47</v>
      </c>
      <c r="O33">
        <f t="shared" si="2"/>
        <v>3.9070122999999999</v>
      </c>
      <c r="P33">
        <f t="shared" si="2"/>
        <v>6.6463913000000003</v>
      </c>
      <c r="Q33">
        <f t="shared" ref="Q33:R35" si="3">D8</f>
        <v>7.4657787000000004</v>
      </c>
      <c r="R33">
        <f t="shared" si="3"/>
        <v>8.9445013000000007</v>
      </c>
      <c r="S33">
        <f>SUM(F8:G8)</f>
        <v>22.156679</v>
      </c>
    </row>
    <row r="34" spans="1:20">
      <c r="A34" t="s">
        <v>47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 t="s">
        <v>45</v>
      </c>
      <c r="O34">
        <f t="shared" si="2"/>
        <v>1.9002648</v>
      </c>
      <c r="P34">
        <f t="shared" si="2"/>
        <v>2.8288026999999998</v>
      </c>
      <c r="Q34">
        <f t="shared" si="3"/>
        <v>3.1164227000000002</v>
      </c>
      <c r="R34">
        <f t="shared" si="3"/>
        <v>3.7002457</v>
      </c>
      <c r="S34">
        <f>F9</f>
        <v>5.3006770000000003</v>
      </c>
    </row>
    <row r="35" spans="1:20">
      <c r="A35" t="s">
        <v>45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 t="s">
        <v>51</v>
      </c>
      <c r="O35">
        <f t="shared" si="2"/>
        <v>5.678337</v>
      </c>
      <c r="P35">
        <f t="shared" si="2"/>
        <v>7.2383546000000001</v>
      </c>
      <c r="Q35">
        <f t="shared" si="3"/>
        <v>6.5280455999999996</v>
      </c>
      <c r="R35">
        <f t="shared" si="3"/>
        <v>5.8381125999999997</v>
      </c>
      <c r="S35">
        <f>F10</f>
        <v>5.2898120999999998</v>
      </c>
    </row>
    <row r="36" spans="1:20">
      <c r="A36" t="s">
        <v>51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 t="s">
        <v>53</v>
      </c>
      <c r="O36" s="3">
        <v>1E-3</v>
      </c>
      <c r="P36">
        <f>C11</f>
        <v>4.3707993000000001E-2</v>
      </c>
      <c r="Q36">
        <f>D11</f>
        <v>4.9044866999999999E-2</v>
      </c>
      <c r="R36">
        <f>SUM(E11:F11)</f>
        <v>0.12732421399999999</v>
      </c>
      <c r="S36">
        <f>SUM(G11:H11)</f>
        <v>0.48979857799999998</v>
      </c>
      <c r="T36" t="s">
        <v>87</v>
      </c>
    </row>
    <row r="37" spans="1:20">
      <c r="A37" t="s">
        <v>53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 t="s">
        <v>55</v>
      </c>
      <c r="O37">
        <f>B12/2</f>
        <v>64.540175000000005</v>
      </c>
      <c r="P37">
        <v>64.540175000000005</v>
      </c>
      <c r="Q37">
        <f>C12/2</f>
        <v>87.631225000000001</v>
      </c>
      <c r="R37">
        <v>87.631225000000001</v>
      </c>
      <c r="S37">
        <f>D12</f>
        <v>118.31115</v>
      </c>
    </row>
    <row r="38" spans="1:20">
      <c r="A38" t="s">
        <v>55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</row>
    <row r="39" spans="1:20">
      <c r="N39" t="s">
        <v>84</v>
      </c>
      <c r="O39">
        <v>3046527</v>
      </c>
      <c r="P39" t="s">
        <v>85</v>
      </c>
    </row>
    <row r="40" spans="1:20">
      <c r="B40" t="s">
        <v>100</v>
      </c>
    </row>
    <row r="41" spans="1:20">
      <c r="A41" t="s">
        <v>90</v>
      </c>
      <c r="B41" t="s">
        <v>97</v>
      </c>
      <c r="C41" t="s">
        <v>98</v>
      </c>
      <c r="D41" t="s">
        <v>99</v>
      </c>
      <c r="N41" t="s">
        <v>86</v>
      </c>
      <c r="O41" t="s">
        <v>78</v>
      </c>
      <c r="P41" t="s">
        <v>79</v>
      </c>
      <c r="Q41" t="s">
        <v>80</v>
      </c>
      <c r="R41" t="s">
        <v>81</v>
      </c>
      <c r="S41" t="s">
        <v>82</v>
      </c>
    </row>
    <row r="42" spans="1:20">
      <c r="A42" t="s">
        <v>35</v>
      </c>
      <c r="B42">
        <v>0.5</v>
      </c>
      <c r="C42">
        <v>0.5</v>
      </c>
      <c r="D42">
        <v>0</v>
      </c>
      <c r="E42">
        <v>0</v>
      </c>
      <c r="F42">
        <v>0</v>
      </c>
      <c r="G42">
        <v>1</v>
      </c>
      <c r="H42">
        <v>3</v>
      </c>
      <c r="I42" t="s">
        <v>101</v>
      </c>
      <c r="N42" t="s">
        <v>35</v>
      </c>
      <c r="O42">
        <f t="shared" ref="O42:S51" si="4">O28*$O$39</f>
        <v>4403580.3038987098</v>
      </c>
      <c r="P42">
        <f t="shared" si="4"/>
        <v>3976466.0229617399</v>
      </c>
      <c r="Q42">
        <f t="shared" si="4"/>
        <v>2946116.2424195698</v>
      </c>
      <c r="R42">
        <f t="shared" si="4"/>
        <v>1865818.49938605</v>
      </c>
      <c r="S42">
        <f t="shared" si="4"/>
        <v>819665.17382366094</v>
      </c>
    </row>
    <row r="43" spans="1:20">
      <c r="A43" t="s">
        <v>36</v>
      </c>
      <c r="B43">
        <v>12</v>
      </c>
      <c r="C43">
        <v>5.0000000000000001E-3</v>
      </c>
      <c r="D43">
        <v>0</v>
      </c>
      <c r="E43">
        <v>0</v>
      </c>
      <c r="F43">
        <v>0</v>
      </c>
      <c r="G43">
        <v>2</v>
      </c>
      <c r="H43">
        <v>3</v>
      </c>
      <c r="I43" t="s">
        <v>102</v>
      </c>
      <c r="N43" t="s">
        <v>36</v>
      </c>
      <c r="O43">
        <f t="shared" si="4"/>
        <v>11686964.711667299</v>
      </c>
      <c r="P43">
        <f t="shared" si="4"/>
        <v>13141996.3650591</v>
      </c>
      <c r="Q43">
        <f t="shared" si="4"/>
        <v>11827866.5854173</v>
      </c>
      <c r="R43">
        <f t="shared" si="4"/>
        <v>10231659.175498199</v>
      </c>
      <c r="S43">
        <f t="shared" si="4"/>
        <v>11213380.65764961</v>
      </c>
    </row>
    <row r="44" spans="1:20">
      <c r="A44" t="s">
        <v>38</v>
      </c>
      <c r="B44">
        <v>3.16E-3</v>
      </c>
      <c r="C44">
        <v>5</v>
      </c>
      <c r="D44">
        <v>0</v>
      </c>
      <c r="E44">
        <v>0</v>
      </c>
      <c r="F44">
        <v>0</v>
      </c>
      <c r="G44">
        <v>1</v>
      </c>
      <c r="H44">
        <v>1</v>
      </c>
      <c r="I44" t="s">
        <v>103</v>
      </c>
      <c r="N44" t="s">
        <v>38</v>
      </c>
      <c r="O44">
        <f t="shared" si="4"/>
        <v>122923250.1152865</v>
      </c>
      <c r="P44">
        <f t="shared" si="4"/>
        <v>122923250.1152865</v>
      </c>
      <c r="Q44">
        <f t="shared" si="4"/>
        <v>261554271.58149299</v>
      </c>
      <c r="R44">
        <f t="shared" si="4"/>
        <v>179712687.09230098</v>
      </c>
      <c r="S44">
        <f t="shared" si="4"/>
        <v>92718691.233101994</v>
      </c>
    </row>
    <row r="45" spans="1:20">
      <c r="A45" t="s">
        <v>40</v>
      </c>
      <c r="B45">
        <v>0.43325999999999998</v>
      </c>
      <c r="C45">
        <v>4.0270000000000001</v>
      </c>
      <c r="D45">
        <v>0</v>
      </c>
      <c r="E45">
        <v>0.5</v>
      </c>
      <c r="F45">
        <v>1</v>
      </c>
      <c r="G45">
        <v>1.2</v>
      </c>
      <c r="H45">
        <v>1.4</v>
      </c>
      <c r="I45" t="s">
        <v>104</v>
      </c>
      <c r="N45" t="s">
        <v>40</v>
      </c>
      <c r="O45">
        <f t="shared" si="4"/>
        <v>7524273.6937071001</v>
      </c>
      <c r="P45">
        <f t="shared" si="4"/>
        <v>6475629.3052730411</v>
      </c>
      <c r="Q45">
        <f t="shared" si="4"/>
        <v>4276625.5830810601</v>
      </c>
      <c r="R45">
        <f t="shared" si="4"/>
        <v>5049759.0692557804</v>
      </c>
      <c r="S45">
        <f t="shared" si="4"/>
        <v>1606118.4306581235</v>
      </c>
    </row>
    <row r="46" spans="1:20">
      <c r="A46" t="s">
        <v>41</v>
      </c>
      <c r="B46">
        <v>0.14030000000000001</v>
      </c>
      <c r="C46">
        <v>3.5870000000000002</v>
      </c>
      <c r="D46">
        <v>0</v>
      </c>
      <c r="E46">
        <v>0.5</v>
      </c>
      <c r="F46">
        <v>1</v>
      </c>
      <c r="G46">
        <v>1.2</v>
      </c>
      <c r="H46">
        <v>1.4</v>
      </c>
      <c r="I46" t="s">
        <v>104</v>
      </c>
      <c r="N46" t="s">
        <v>41</v>
      </c>
      <c r="O46">
        <f t="shared" si="4"/>
        <v>12957077.0506023</v>
      </c>
      <c r="P46">
        <f t="shared" si="4"/>
        <v>32035114.897830002</v>
      </c>
      <c r="Q46">
        <f t="shared" si="4"/>
        <v>59682624.352134302</v>
      </c>
      <c r="R46">
        <f t="shared" si="4"/>
        <v>58806217.134630904</v>
      </c>
      <c r="S46">
        <f t="shared" si="4"/>
        <v>72545692.281875998</v>
      </c>
    </row>
    <row r="47" spans="1:20">
      <c r="A47" t="s">
        <v>47</v>
      </c>
      <c r="B47">
        <f>EXP(-7.633)</f>
        <v>4.8420605905539479E-4</v>
      </c>
      <c r="C47" s="3">
        <v>5.7009999999999996</v>
      </c>
      <c r="D47">
        <v>0</v>
      </c>
      <c r="E47">
        <v>1</v>
      </c>
      <c r="F47">
        <v>1</v>
      </c>
      <c r="G47">
        <v>1.2</v>
      </c>
      <c r="H47">
        <v>1.4</v>
      </c>
      <c r="I47" t="s">
        <v>105</v>
      </c>
      <c r="N47" t="s">
        <v>47</v>
      </c>
      <c r="O47">
        <f t="shared" si="4"/>
        <v>11902818.461282101</v>
      </c>
      <c r="P47">
        <f t="shared" si="4"/>
        <v>20248410.548015103</v>
      </c>
      <c r="Q47">
        <f t="shared" si="4"/>
        <v>22744696.3855749</v>
      </c>
      <c r="R47">
        <f t="shared" si="4"/>
        <v>27249664.711985104</v>
      </c>
      <c r="S47">
        <f t="shared" si="4"/>
        <v>67500920.803833008</v>
      </c>
    </row>
    <row r="48" spans="1:20">
      <c r="A48" t="s">
        <v>45</v>
      </c>
      <c r="B48">
        <f>EXP(-7.633)</f>
        <v>4.8420605905539479E-4</v>
      </c>
      <c r="C48" s="3">
        <v>5.7009999999999996</v>
      </c>
      <c r="D48">
        <v>0</v>
      </c>
      <c r="E48">
        <v>1</v>
      </c>
      <c r="F48">
        <v>1</v>
      </c>
      <c r="G48">
        <v>1.5</v>
      </c>
      <c r="H48">
        <v>3</v>
      </c>
      <c r="I48" t="s">
        <v>106</v>
      </c>
      <c r="N48" t="s">
        <v>45</v>
      </c>
      <c r="O48">
        <f t="shared" si="4"/>
        <v>5789208.0203496004</v>
      </c>
      <c r="P48">
        <f t="shared" si="4"/>
        <v>8618023.8032229003</v>
      </c>
      <c r="Q48">
        <f t="shared" si="4"/>
        <v>9494265.8989629</v>
      </c>
      <c r="R48">
        <f t="shared" si="4"/>
        <v>11272898.4316839</v>
      </c>
      <c r="S48">
        <f t="shared" si="4"/>
        <v>16148655.598779</v>
      </c>
    </row>
    <row r="49" spans="1:19">
      <c r="A49" t="s">
        <v>51</v>
      </c>
      <c r="B49">
        <v>1.0980000000000001</v>
      </c>
      <c r="C49" s="3">
        <v>3.5</v>
      </c>
      <c r="D49">
        <v>0</v>
      </c>
      <c r="E49">
        <v>1</v>
      </c>
      <c r="F49">
        <v>1</v>
      </c>
      <c r="G49">
        <v>1</v>
      </c>
      <c r="H49">
        <v>1.8</v>
      </c>
      <c r="I49" t="s">
        <v>107</v>
      </c>
      <c r="N49" t="s">
        <v>51</v>
      </c>
      <c r="O49">
        <f t="shared" si="4"/>
        <v>17299206.985599</v>
      </c>
      <c r="P49">
        <f t="shared" si="4"/>
        <v>22051842.724474199</v>
      </c>
      <c r="Q49">
        <f t="shared" si="4"/>
        <v>19887867.177631199</v>
      </c>
      <c r="R49">
        <f t="shared" si="4"/>
        <v>17785967.664940201</v>
      </c>
      <c r="S49">
        <f t="shared" si="4"/>
        <v>16115555.387576699</v>
      </c>
    </row>
    <row r="50" spans="1:19">
      <c r="A50" t="s">
        <v>53</v>
      </c>
      <c r="B50">
        <v>0.5</v>
      </c>
      <c r="C50" s="4">
        <v>2.5</v>
      </c>
      <c r="D50">
        <v>0</v>
      </c>
      <c r="E50">
        <v>1</v>
      </c>
      <c r="F50">
        <v>1</v>
      </c>
      <c r="G50">
        <v>1</v>
      </c>
      <c r="H50">
        <v>1.1000000000000001</v>
      </c>
      <c r="I50" t="s">
        <v>108</v>
      </c>
      <c r="N50" t="s">
        <v>53</v>
      </c>
      <c r="O50">
        <f t="shared" si="4"/>
        <v>3046.527</v>
      </c>
      <c r="P50">
        <f t="shared" si="4"/>
        <v>133157.58079031101</v>
      </c>
      <c r="Q50">
        <f t="shared" si="4"/>
        <v>149416.51152690899</v>
      </c>
      <c r="R50">
        <f t="shared" si="4"/>
        <v>387896.65570477798</v>
      </c>
      <c r="S50">
        <f t="shared" si="4"/>
        <v>1492184.5924386058</v>
      </c>
    </row>
    <row r="51" spans="1:19">
      <c r="A51" t="s">
        <v>55</v>
      </c>
      <c r="B51">
        <v>0.32800000000000001</v>
      </c>
      <c r="C51" s="4">
        <v>3.8570000000000002</v>
      </c>
      <c r="D51">
        <v>0</v>
      </c>
      <c r="E51">
        <v>1</v>
      </c>
      <c r="F51">
        <v>1</v>
      </c>
      <c r="G51">
        <v>1</v>
      </c>
      <c r="H51">
        <v>1</v>
      </c>
      <c r="I51" t="s">
        <v>109</v>
      </c>
      <c r="N51" t="s">
        <v>55</v>
      </c>
      <c r="O51">
        <f t="shared" si="4"/>
        <v>196623385.72222501</v>
      </c>
      <c r="P51">
        <f t="shared" si="4"/>
        <v>196623385.72222501</v>
      </c>
      <c r="Q51">
        <f t="shared" si="4"/>
        <v>266970893.005575</v>
      </c>
      <c r="R51">
        <f t="shared" si="4"/>
        <v>266970893.005575</v>
      </c>
      <c r="S51">
        <f t="shared" si="4"/>
        <v>360438112.87605</v>
      </c>
    </row>
    <row r="53" spans="1:19">
      <c r="B53" t="s">
        <v>112</v>
      </c>
      <c r="N53" t="s">
        <v>88</v>
      </c>
    </row>
    <row r="54" spans="1:19">
      <c r="A54" t="s">
        <v>111</v>
      </c>
      <c r="B54" t="s">
        <v>113</v>
      </c>
      <c r="C54" t="s">
        <v>114</v>
      </c>
      <c r="D54" t="s">
        <v>115</v>
      </c>
      <c r="E54" t="s">
        <v>212</v>
      </c>
      <c r="F54" t="s">
        <v>213</v>
      </c>
      <c r="G54" t="s">
        <v>220</v>
      </c>
      <c r="H54" t="s">
        <v>221</v>
      </c>
      <c r="N54" t="s">
        <v>35</v>
      </c>
      <c r="O54">
        <f t="shared" ref="O54:S63" si="5">ROUND(O42,0)</f>
        <v>4403580</v>
      </c>
      <c r="P54">
        <f t="shared" si="5"/>
        <v>3976466</v>
      </c>
      <c r="Q54">
        <f t="shared" si="5"/>
        <v>2946116</v>
      </c>
      <c r="R54">
        <f t="shared" si="5"/>
        <v>1865818</v>
      </c>
      <c r="S54">
        <f t="shared" si="5"/>
        <v>819665</v>
      </c>
    </row>
    <row r="55" spans="1:19">
      <c r="A55" t="s">
        <v>35</v>
      </c>
      <c r="B55">
        <v>30</v>
      </c>
      <c r="C55">
        <v>0.8</v>
      </c>
      <c r="D55">
        <f>C55/G55</f>
        <v>2.666666666666667E-3</v>
      </c>
      <c r="E55">
        <f t="shared" ref="E55:E64" si="6">EXP($J$62-ABS($J$63*LOG(C15)))</f>
        <v>604.31755063446644</v>
      </c>
      <c r="F55">
        <f t="shared" ref="F55:F64" si="7">EXP($L$62-$L$63*LOG(G55))</f>
        <v>0.11102478681309097</v>
      </c>
      <c r="G55">
        <v>300</v>
      </c>
      <c r="H55">
        <f>B55*(G55^C55)*EXP(-D55*G55)</f>
        <v>1292.3575161975655</v>
      </c>
      <c r="I55" t="s">
        <v>125</v>
      </c>
      <c r="N55" t="s">
        <v>36</v>
      </c>
      <c r="O55">
        <f t="shared" si="5"/>
        <v>11686965</v>
      </c>
      <c r="P55">
        <f t="shared" si="5"/>
        <v>13141996</v>
      </c>
      <c r="Q55">
        <f t="shared" si="5"/>
        <v>11827867</v>
      </c>
      <c r="R55">
        <f t="shared" si="5"/>
        <v>10231659</v>
      </c>
      <c r="S55">
        <f t="shared" si="5"/>
        <v>11213381</v>
      </c>
    </row>
    <row r="56" spans="1:19">
      <c r="A56" t="s">
        <v>36</v>
      </c>
      <c r="B56">
        <v>10</v>
      </c>
      <c r="C56">
        <v>0.7</v>
      </c>
      <c r="D56">
        <f t="shared" ref="D56:D64" si="8">C56/G56</f>
        <v>2.3333333333333333E-4</v>
      </c>
      <c r="E56">
        <f t="shared" si="6"/>
        <v>529.72478025096473</v>
      </c>
      <c r="F56">
        <f t="shared" si="7"/>
        <v>4.3006595214160809E-2</v>
      </c>
      <c r="G56">
        <v>3000</v>
      </c>
      <c r="H56">
        <f t="shared" ref="H56:H64" si="9">B56*(G56^C56)*EXP(-D56*G56)</f>
        <v>1348.8968515005511</v>
      </c>
      <c r="I56" t="s">
        <v>126</v>
      </c>
      <c r="N56" t="s">
        <v>38</v>
      </c>
      <c r="O56">
        <f t="shared" si="5"/>
        <v>122923250</v>
      </c>
      <c r="P56">
        <f t="shared" si="5"/>
        <v>122923250</v>
      </c>
      <c r="Q56">
        <f t="shared" si="5"/>
        <v>261554272</v>
      </c>
      <c r="R56">
        <f t="shared" si="5"/>
        <v>179712687</v>
      </c>
      <c r="S56">
        <f t="shared" si="5"/>
        <v>92718691</v>
      </c>
    </row>
    <row r="57" spans="1:19">
      <c r="A57" t="s">
        <v>38</v>
      </c>
      <c r="B57">
        <v>0.5</v>
      </c>
      <c r="C57">
        <v>0.5</v>
      </c>
      <c r="D57">
        <f t="shared" si="8"/>
        <v>5.0000000000000002E-11</v>
      </c>
      <c r="E57">
        <f t="shared" si="6"/>
        <v>1723.3353002435774</v>
      </c>
      <c r="F57">
        <f t="shared" si="7"/>
        <v>8.8483010157636125E-5</v>
      </c>
      <c r="G57" s="1">
        <v>10000000000</v>
      </c>
      <c r="H57">
        <f t="shared" si="9"/>
        <v>30326.532985631671</v>
      </c>
      <c r="I57" t="s">
        <v>124</v>
      </c>
      <c r="N57" t="s">
        <v>40</v>
      </c>
      <c r="O57">
        <f t="shared" si="5"/>
        <v>7524274</v>
      </c>
      <c r="P57">
        <f t="shared" si="5"/>
        <v>6475629</v>
      </c>
      <c r="Q57">
        <f t="shared" si="5"/>
        <v>4276626</v>
      </c>
      <c r="R57">
        <f t="shared" si="5"/>
        <v>5049759</v>
      </c>
      <c r="S57">
        <f t="shared" si="5"/>
        <v>1606118</v>
      </c>
    </row>
    <row r="58" spans="1:19">
      <c r="A58" t="s">
        <v>40</v>
      </c>
      <c r="B58" s="1">
        <v>1E-3</v>
      </c>
      <c r="C58">
        <v>0.5</v>
      </c>
      <c r="D58">
        <f t="shared" si="8"/>
        <v>6.2499999999999999E-14</v>
      </c>
      <c r="E58">
        <f t="shared" si="6"/>
        <v>408.60077455877484</v>
      </c>
      <c r="F58">
        <f t="shared" si="7"/>
        <v>5.6379471248805662E-6</v>
      </c>
      <c r="G58" s="1">
        <v>8000000000000</v>
      </c>
      <c r="H58">
        <f t="shared" si="9"/>
        <v>1715.5277699214137</v>
      </c>
      <c r="I58" t="s">
        <v>191</v>
      </c>
      <c r="N58" t="s">
        <v>41</v>
      </c>
      <c r="O58">
        <f t="shared" si="5"/>
        <v>12957077</v>
      </c>
      <c r="P58">
        <f t="shared" si="5"/>
        <v>32035115</v>
      </c>
      <c r="Q58">
        <f t="shared" si="5"/>
        <v>59682624</v>
      </c>
      <c r="R58">
        <f t="shared" si="5"/>
        <v>58806217</v>
      </c>
      <c r="S58">
        <f t="shared" si="5"/>
        <v>72545692</v>
      </c>
    </row>
    <row r="59" spans="1:19">
      <c r="A59" t="s">
        <v>41</v>
      </c>
      <c r="B59">
        <v>0.02</v>
      </c>
      <c r="C59">
        <v>0.5</v>
      </c>
      <c r="D59">
        <f t="shared" si="8"/>
        <v>5.5555555555555555E-12</v>
      </c>
      <c r="E59">
        <f t="shared" si="6"/>
        <v>818.2815581785153</v>
      </c>
      <c r="F59">
        <f t="shared" si="7"/>
        <v>3.5794955011578916E-5</v>
      </c>
      <c r="G59" s="1">
        <v>90000000000</v>
      </c>
      <c r="H59">
        <f t="shared" si="9"/>
        <v>3639.1839582758007</v>
      </c>
      <c r="I59" t="s">
        <v>123</v>
      </c>
      <c r="N59" t="s">
        <v>47</v>
      </c>
      <c r="O59">
        <f t="shared" si="5"/>
        <v>11902818</v>
      </c>
      <c r="P59">
        <f t="shared" si="5"/>
        <v>20248411</v>
      </c>
      <c r="Q59">
        <f t="shared" si="5"/>
        <v>22744696</v>
      </c>
      <c r="R59">
        <f t="shared" si="5"/>
        <v>27249665</v>
      </c>
      <c r="S59">
        <f t="shared" si="5"/>
        <v>67500921</v>
      </c>
    </row>
    <row r="60" spans="1:19">
      <c r="A60" t="s">
        <v>47</v>
      </c>
      <c r="B60">
        <v>5.0000000000000001E-3</v>
      </c>
      <c r="C60">
        <v>0.5</v>
      </c>
      <c r="D60">
        <f t="shared" si="8"/>
        <v>2.9411764705882354E-13</v>
      </c>
      <c r="E60">
        <f t="shared" si="6"/>
        <v>1207.0885133338645</v>
      </c>
      <c r="F60">
        <f t="shared" si="7"/>
        <v>1.0670178570511167E-5</v>
      </c>
      <c r="G60" s="1">
        <v>1700000000000</v>
      </c>
      <c r="H60">
        <f t="shared" si="9"/>
        <v>3954.0961356277489</v>
      </c>
      <c r="N60" t="s">
        <v>45</v>
      </c>
      <c r="O60">
        <f t="shared" si="5"/>
        <v>5789208</v>
      </c>
      <c r="P60">
        <f t="shared" si="5"/>
        <v>8618024</v>
      </c>
      <c r="Q60">
        <f t="shared" si="5"/>
        <v>9494266</v>
      </c>
      <c r="R60">
        <f t="shared" si="5"/>
        <v>11272898</v>
      </c>
      <c r="S60">
        <f t="shared" si="5"/>
        <v>16148656</v>
      </c>
    </row>
    <row r="61" spans="1:19">
      <c r="A61" t="s">
        <v>45</v>
      </c>
      <c r="B61">
        <v>0.03</v>
      </c>
      <c r="C61">
        <v>0.4</v>
      </c>
      <c r="D61">
        <f t="shared" si="8"/>
        <v>1.1428571428571429E-12</v>
      </c>
      <c r="E61">
        <f t="shared" si="6"/>
        <v>1325.9570909844101</v>
      </c>
      <c r="F61">
        <f t="shared" si="7"/>
        <v>2.0458867860426413E-5</v>
      </c>
      <c r="G61" s="1">
        <v>350000000000</v>
      </c>
      <c r="H61">
        <f t="shared" si="9"/>
        <v>833.74008011996762</v>
      </c>
      <c r="I61" t="s">
        <v>218</v>
      </c>
      <c r="N61" t="s">
        <v>51</v>
      </c>
      <c r="O61">
        <f t="shared" si="5"/>
        <v>17299207</v>
      </c>
      <c r="P61">
        <f t="shared" si="5"/>
        <v>22051843</v>
      </c>
      <c r="Q61">
        <f t="shared" si="5"/>
        <v>19887867</v>
      </c>
      <c r="R61">
        <f t="shared" si="5"/>
        <v>17785968</v>
      </c>
      <c r="S61">
        <f t="shared" si="5"/>
        <v>16115555</v>
      </c>
    </row>
    <row r="62" spans="1:19">
      <c r="A62" t="s">
        <v>51</v>
      </c>
      <c r="B62">
        <v>2.5000000000000001E-2</v>
      </c>
      <c r="C62">
        <v>0.5</v>
      </c>
      <c r="D62">
        <f t="shared" si="8"/>
        <v>1.4285714285714286E-11</v>
      </c>
      <c r="E62">
        <f t="shared" si="6"/>
        <v>1308.7336554764665</v>
      </c>
      <c r="F62">
        <f t="shared" si="7"/>
        <v>5.2816118814565449E-5</v>
      </c>
      <c r="G62" s="1">
        <v>35000000000</v>
      </c>
      <c r="H62">
        <f t="shared" si="9"/>
        <v>2836.7874040233082</v>
      </c>
      <c r="I62" t="s">
        <v>214</v>
      </c>
      <c r="J62">
        <v>11</v>
      </c>
      <c r="K62" t="s">
        <v>216</v>
      </c>
      <c r="L62">
        <v>0.15129999999999999</v>
      </c>
      <c r="N62" t="s">
        <v>53</v>
      </c>
      <c r="O62">
        <f t="shared" si="5"/>
        <v>3047</v>
      </c>
      <c r="P62">
        <f t="shared" si="5"/>
        <v>133158</v>
      </c>
      <c r="Q62">
        <f t="shared" si="5"/>
        <v>149417</v>
      </c>
      <c r="R62">
        <f t="shared" si="5"/>
        <v>387897</v>
      </c>
      <c r="S62">
        <f t="shared" si="5"/>
        <v>1492185</v>
      </c>
    </row>
    <row r="63" spans="1:19">
      <c r="A63" t="s">
        <v>53</v>
      </c>
      <c r="B63">
        <v>1</v>
      </c>
      <c r="C63">
        <v>0.5</v>
      </c>
      <c r="D63">
        <f t="shared" si="8"/>
        <v>6.2500000000000001E-4</v>
      </c>
      <c r="E63">
        <f t="shared" si="6"/>
        <v>887.93142738847519</v>
      </c>
      <c r="F63">
        <f t="shared" si="7"/>
        <v>7.4125880462059701E-2</v>
      </c>
      <c r="G63" s="1">
        <v>800</v>
      </c>
      <c r="H63">
        <f t="shared" si="9"/>
        <v>17.155277699214135</v>
      </c>
      <c r="I63" t="s">
        <v>215</v>
      </c>
      <c r="J63">
        <v>-2.298</v>
      </c>
      <c r="K63" t="s">
        <v>217</v>
      </c>
      <c r="L63">
        <v>0.94840000000000002</v>
      </c>
      <c r="N63" t="s">
        <v>55</v>
      </c>
      <c r="O63">
        <f t="shared" si="5"/>
        <v>196623386</v>
      </c>
      <c r="P63">
        <f t="shared" si="5"/>
        <v>196623386</v>
      </c>
      <c r="Q63">
        <f t="shared" si="5"/>
        <v>266970893</v>
      </c>
      <c r="R63">
        <f t="shared" si="5"/>
        <v>266970893</v>
      </c>
      <c r="S63">
        <f t="shared" si="5"/>
        <v>360438113</v>
      </c>
    </row>
    <row r="64" spans="1:19">
      <c r="A64" t="s">
        <v>55</v>
      </c>
      <c r="B64">
        <v>0.55000000000000004</v>
      </c>
      <c r="C64">
        <v>0.45</v>
      </c>
      <c r="D64">
        <f t="shared" si="8"/>
        <v>1.8E-12</v>
      </c>
      <c r="E64">
        <f t="shared" si="6"/>
        <v>2510.5937716174044</v>
      </c>
      <c r="F64">
        <f t="shared" si="7"/>
        <v>2.3500090066028229E-5</v>
      </c>
      <c r="G64" s="1">
        <v>250000000000</v>
      </c>
      <c r="H64">
        <f t="shared" si="9"/>
        <v>47206.649406525532</v>
      </c>
    </row>
    <row r="65" spans="1:21">
      <c r="N65" t="s">
        <v>89</v>
      </c>
      <c r="O65">
        <v>4403580</v>
      </c>
      <c r="P65">
        <v>3976466</v>
      </c>
      <c r="Q65">
        <v>2946116</v>
      </c>
      <c r="R65">
        <v>1865818</v>
      </c>
      <c r="S65">
        <v>819665</v>
      </c>
      <c r="U65">
        <f>SUM(O65:S65)</f>
        <v>14011645</v>
      </c>
    </row>
    <row r="66" spans="1:21">
      <c r="B66" t="s">
        <v>128</v>
      </c>
      <c r="O66">
        <v>11686965</v>
      </c>
      <c r="P66">
        <v>13141996</v>
      </c>
      <c r="Q66">
        <v>11827867</v>
      </c>
      <c r="R66">
        <v>10231659</v>
      </c>
      <c r="S66">
        <v>11213381</v>
      </c>
      <c r="U66">
        <f t="shared" ref="U66:U74" si="10">SUM(O66:S66)</f>
        <v>58101868</v>
      </c>
    </row>
    <row r="67" spans="1:21">
      <c r="B67" t="s">
        <v>129</v>
      </c>
      <c r="C67" s="1" t="s">
        <v>130</v>
      </c>
      <c r="D67" s="1"/>
      <c r="E67" s="1" t="s">
        <v>134</v>
      </c>
      <c r="F67" s="1"/>
      <c r="G67" s="1"/>
      <c r="H67" s="1"/>
      <c r="I67" s="1"/>
      <c r="J67" s="1"/>
      <c r="O67">
        <v>122923250</v>
      </c>
      <c r="P67">
        <v>122923250</v>
      </c>
      <c r="Q67">
        <v>261554272</v>
      </c>
      <c r="R67">
        <v>179712687</v>
      </c>
      <c r="S67">
        <v>92718691</v>
      </c>
      <c r="U67">
        <f t="shared" si="10"/>
        <v>779832150</v>
      </c>
    </row>
    <row r="68" spans="1:21">
      <c r="A68" t="s">
        <v>35</v>
      </c>
      <c r="B68">
        <f>EXP(2.423098)</f>
        <v>11.280753009464274</v>
      </c>
      <c r="C68">
        <v>0.68818699999999999</v>
      </c>
      <c r="D68" t="s">
        <v>137</v>
      </c>
      <c r="E68">
        <v>0</v>
      </c>
      <c r="F68" t="s">
        <v>136</v>
      </c>
      <c r="O68">
        <v>7524274</v>
      </c>
      <c r="P68">
        <v>6475629</v>
      </c>
      <c r="Q68">
        <v>4276626</v>
      </c>
      <c r="R68">
        <v>5049759</v>
      </c>
      <c r="S68">
        <v>1606118</v>
      </c>
      <c r="U68">
        <f t="shared" si="10"/>
        <v>24932406</v>
      </c>
    </row>
    <row r="69" spans="1:21">
      <c r="A69" t="s">
        <v>36</v>
      </c>
      <c r="B69">
        <f>EXP(2.93271)</f>
        <v>18.778451206277722</v>
      </c>
      <c r="C69">
        <v>0.59567000000000003</v>
      </c>
      <c r="D69" t="s">
        <v>137</v>
      </c>
      <c r="E69">
        <v>0</v>
      </c>
      <c r="F69" t="s">
        <v>132</v>
      </c>
      <c r="O69">
        <v>12957077</v>
      </c>
      <c r="P69">
        <v>32035115</v>
      </c>
      <c r="Q69">
        <v>59682624</v>
      </c>
      <c r="R69">
        <v>58806217</v>
      </c>
      <c r="S69">
        <v>72545692</v>
      </c>
      <c r="U69">
        <f t="shared" si="10"/>
        <v>236026725</v>
      </c>
    </row>
    <row r="70" spans="1:21">
      <c r="A70" t="s">
        <v>38</v>
      </c>
      <c r="B70">
        <f>EXP(2.591427)</f>
        <v>13.348806765631778</v>
      </c>
      <c r="C70">
        <v>0.40112999999999999</v>
      </c>
      <c r="D70" t="s">
        <v>133</v>
      </c>
      <c r="E70">
        <v>7878</v>
      </c>
      <c r="F70" t="s">
        <v>131</v>
      </c>
      <c r="O70">
        <v>11902818</v>
      </c>
      <c r="P70">
        <v>20248411</v>
      </c>
      <c r="Q70">
        <v>22744696</v>
      </c>
      <c r="R70">
        <v>27249665</v>
      </c>
      <c r="S70">
        <v>67500921</v>
      </c>
      <c r="U70">
        <f t="shared" si="10"/>
        <v>149646511</v>
      </c>
    </row>
    <row r="71" spans="1:21">
      <c r="A71" t="s">
        <v>40</v>
      </c>
      <c r="B71">
        <f>EXP(3.104847)</f>
        <v>22.305805925877547</v>
      </c>
      <c r="C71">
        <v>0.73502599999999996</v>
      </c>
      <c r="D71" t="s">
        <v>133</v>
      </c>
      <c r="E71">
        <v>18044</v>
      </c>
      <c r="O71">
        <v>5789208</v>
      </c>
      <c r="P71">
        <v>8618024</v>
      </c>
      <c r="Q71">
        <v>9494266</v>
      </c>
      <c r="R71">
        <v>11272898</v>
      </c>
      <c r="S71">
        <v>16148656</v>
      </c>
      <c r="U71">
        <f t="shared" si="10"/>
        <v>51323052</v>
      </c>
    </row>
    <row r="72" spans="1:21">
      <c r="A72" t="s">
        <v>41</v>
      </c>
      <c r="B72">
        <f>EXP(3.13992)</f>
        <v>23.102018623303888</v>
      </c>
      <c r="C72">
        <v>0.50278299999999998</v>
      </c>
      <c r="D72" t="s">
        <v>133</v>
      </c>
      <c r="E72">
        <v>31155</v>
      </c>
      <c r="O72">
        <v>17299207</v>
      </c>
      <c r="P72">
        <v>22051843</v>
      </c>
      <c r="Q72">
        <v>19887867</v>
      </c>
      <c r="R72">
        <v>17785968</v>
      </c>
      <c r="S72">
        <v>16115555</v>
      </c>
      <c r="U72">
        <f t="shared" si="10"/>
        <v>93140440</v>
      </c>
    </row>
    <row r="73" spans="1:21">
      <c r="A73" t="s">
        <v>47</v>
      </c>
      <c r="B73">
        <f>EXP(2.77126)</f>
        <v>15.978754561932265</v>
      </c>
      <c r="C73">
        <v>0.62029599999999996</v>
      </c>
      <c r="D73" t="s">
        <v>133</v>
      </c>
      <c r="E73">
        <v>26587</v>
      </c>
      <c r="O73">
        <v>3047</v>
      </c>
      <c r="P73">
        <v>133158</v>
      </c>
      <c r="Q73">
        <v>149417</v>
      </c>
      <c r="R73">
        <v>387897</v>
      </c>
      <c r="S73">
        <v>1492185</v>
      </c>
      <c r="U73">
        <f t="shared" si="10"/>
        <v>2165704</v>
      </c>
    </row>
    <row r="74" spans="1:21">
      <c r="A74" t="s">
        <v>45</v>
      </c>
      <c r="B74">
        <f>EXP(2.87225)</f>
        <v>17.676746167990895</v>
      </c>
      <c r="C74">
        <v>0.55681899999999995</v>
      </c>
      <c r="D74" t="s">
        <v>133</v>
      </c>
      <c r="E74">
        <v>7182</v>
      </c>
      <c r="O74">
        <v>196623386</v>
      </c>
      <c r="P74">
        <v>196623386</v>
      </c>
      <c r="Q74">
        <v>266970893</v>
      </c>
      <c r="R74">
        <v>266970893</v>
      </c>
      <c r="S74">
        <v>360438113</v>
      </c>
      <c r="U74">
        <f t="shared" si="10"/>
        <v>1287626671</v>
      </c>
    </row>
    <row r="75" spans="1:21">
      <c r="A75" t="s">
        <v>51</v>
      </c>
      <c r="B75">
        <f>EXP(3.018152)</f>
        <v>20.453458745562802</v>
      </c>
      <c r="C75">
        <v>0.26363700000000001</v>
      </c>
      <c r="D75" t="s">
        <v>133</v>
      </c>
      <c r="E75">
        <v>2325</v>
      </c>
      <c r="N75" t="s">
        <v>110</v>
      </c>
      <c r="U75" t="s">
        <v>219</v>
      </c>
    </row>
    <row r="76" spans="1:21">
      <c r="A76" t="s">
        <v>53</v>
      </c>
      <c r="B76">
        <f>EXP(3.49918)</f>
        <v>33.088308418458624</v>
      </c>
      <c r="C76">
        <v>0.33678000000000002</v>
      </c>
      <c r="D76" t="s">
        <v>137</v>
      </c>
      <c r="E76">
        <v>0</v>
      </c>
      <c r="O76">
        <f t="shared" ref="O76:S85" si="11">O65/100000</f>
        <v>44.035800000000002</v>
      </c>
      <c r="P76">
        <f t="shared" si="11"/>
        <v>39.764659999999999</v>
      </c>
      <c r="Q76">
        <f t="shared" si="11"/>
        <v>29.46116</v>
      </c>
      <c r="R76">
        <f t="shared" si="11"/>
        <v>18.658180000000002</v>
      </c>
      <c r="S76">
        <f t="shared" si="11"/>
        <v>8.19665</v>
      </c>
    </row>
    <row r="77" spans="1:21">
      <c r="A77" t="s">
        <v>55</v>
      </c>
      <c r="B77">
        <f>EXP(2.16325)</f>
        <v>8.6993646999502054</v>
      </c>
      <c r="C77">
        <v>0.53290000000000004</v>
      </c>
      <c r="D77" t="s">
        <v>137</v>
      </c>
      <c r="E77">
        <v>0</v>
      </c>
      <c r="O77">
        <f t="shared" si="11"/>
        <v>116.86964999999999</v>
      </c>
      <c r="P77">
        <f t="shared" si="11"/>
        <v>131.41996</v>
      </c>
      <c r="Q77">
        <f t="shared" si="11"/>
        <v>118.27867000000001</v>
      </c>
      <c r="R77">
        <f t="shared" si="11"/>
        <v>102.31659000000001</v>
      </c>
      <c r="S77">
        <f t="shared" si="11"/>
        <v>112.13381</v>
      </c>
    </row>
    <row r="78" spans="1:21">
      <c r="E78">
        <f>SUM(E68:E77)</f>
        <v>93171</v>
      </c>
      <c r="F78" t="s">
        <v>135</v>
      </c>
      <c r="O78">
        <f t="shared" si="11"/>
        <v>1229.2325000000001</v>
      </c>
      <c r="P78">
        <f t="shared" si="11"/>
        <v>1229.2325000000001</v>
      </c>
      <c r="Q78">
        <f t="shared" si="11"/>
        <v>2615.5427199999999</v>
      </c>
      <c r="R78">
        <f t="shared" si="11"/>
        <v>1797.1268700000001</v>
      </c>
      <c r="S78">
        <f t="shared" si="11"/>
        <v>927.18691000000001</v>
      </c>
    </row>
    <row r="79" spans="1:21">
      <c r="O79">
        <f t="shared" si="11"/>
        <v>75.242739999999998</v>
      </c>
      <c r="P79">
        <f t="shared" si="11"/>
        <v>64.756290000000007</v>
      </c>
      <c r="Q79">
        <f t="shared" si="11"/>
        <v>42.766260000000003</v>
      </c>
      <c r="R79">
        <f t="shared" si="11"/>
        <v>50.497590000000002</v>
      </c>
      <c r="S79">
        <f t="shared" si="11"/>
        <v>16.06118</v>
      </c>
    </row>
    <row r="80" spans="1:21">
      <c r="O80">
        <f t="shared" si="11"/>
        <v>129.57077000000001</v>
      </c>
      <c r="P80">
        <f t="shared" si="11"/>
        <v>320.35115000000002</v>
      </c>
      <c r="Q80">
        <f t="shared" si="11"/>
        <v>596.82623999999998</v>
      </c>
      <c r="R80">
        <f t="shared" si="11"/>
        <v>588.06217000000004</v>
      </c>
      <c r="S80">
        <f t="shared" si="11"/>
        <v>725.45691999999997</v>
      </c>
    </row>
    <row r="81" spans="1:19">
      <c r="B81" t="s">
        <v>138</v>
      </c>
      <c r="O81">
        <f t="shared" si="11"/>
        <v>119.02818000000001</v>
      </c>
      <c r="P81">
        <f t="shared" si="11"/>
        <v>202.48410999999999</v>
      </c>
      <c r="Q81">
        <f t="shared" si="11"/>
        <v>227.44695999999999</v>
      </c>
      <c r="R81">
        <f t="shared" si="11"/>
        <v>272.49664999999999</v>
      </c>
      <c r="S81">
        <f t="shared" si="11"/>
        <v>675.00921000000005</v>
      </c>
    </row>
    <row r="82" spans="1:19">
      <c r="B82" t="s">
        <v>113</v>
      </c>
      <c r="C82" t="s">
        <v>115</v>
      </c>
      <c r="O82">
        <f t="shared" si="11"/>
        <v>57.89208</v>
      </c>
      <c r="P82">
        <f t="shared" si="11"/>
        <v>86.180239999999998</v>
      </c>
      <c r="Q82">
        <f t="shared" si="11"/>
        <v>94.942660000000004</v>
      </c>
      <c r="R82">
        <f t="shared" si="11"/>
        <v>112.72898000000001</v>
      </c>
      <c r="S82">
        <f t="shared" si="11"/>
        <v>161.48656</v>
      </c>
    </row>
    <row r="83" spans="1:19">
      <c r="A83" t="s">
        <v>35</v>
      </c>
      <c r="B83">
        <v>2E-3</v>
      </c>
      <c r="C83">
        <v>0.11</v>
      </c>
      <c r="E83" t="s">
        <v>139</v>
      </c>
      <c r="O83">
        <f t="shared" si="11"/>
        <v>172.99207000000001</v>
      </c>
      <c r="P83">
        <f t="shared" si="11"/>
        <v>220.51843</v>
      </c>
      <c r="Q83">
        <f t="shared" si="11"/>
        <v>198.87867</v>
      </c>
      <c r="R83">
        <f t="shared" si="11"/>
        <v>177.85968</v>
      </c>
      <c r="S83">
        <f t="shared" si="11"/>
        <v>161.15555000000001</v>
      </c>
    </row>
    <row r="84" spans="1:19">
      <c r="A84" t="s">
        <v>36</v>
      </c>
      <c r="B84">
        <v>2E-3</v>
      </c>
      <c r="C84">
        <v>0.11</v>
      </c>
      <c r="O84">
        <f t="shared" si="11"/>
        <v>3.0470000000000001E-2</v>
      </c>
      <c r="P84">
        <f t="shared" si="11"/>
        <v>1.33158</v>
      </c>
      <c r="Q84">
        <f t="shared" si="11"/>
        <v>1.49417</v>
      </c>
      <c r="R84">
        <f t="shared" si="11"/>
        <v>3.8789699999999998</v>
      </c>
      <c r="S84">
        <f t="shared" si="11"/>
        <v>14.921849999999999</v>
      </c>
    </row>
    <row r="85" spans="1:19">
      <c r="A85" t="s">
        <v>38</v>
      </c>
      <c r="B85">
        <v>4.0000000000000001E-3</v>
      </c>
      <c r="C85">
        <v>0.11</v>
      </c>
      <c r="E85" t="s">
        <v>140</v>
      </c>
      <c r="O85">
        <f t="shared" si="11"/>
        <v>1966.23386</v>
      </c>
      <c r="P85">
        <f t="shared" si="11"/>
        <v>1966.23386</v>
      </c>
      <c r="Q85">
        <f t="shared" si="11"/>
        <v>2669.7089299999998</v>
      </c>
      <c r="R85">
        <f t="shared" si="11"/>
        <v>2669.7089299999998</v>
      </c>
      <c r="S85">
        <f t="shared" si="11"/>
        <v>3604.3811300000002</v>
      </c>
    </row>
    <row r="86" spans="1:19">
      <c r="A86" t="s">
        <v>40</v>
      </c>
      <c r="B86">
        <v>4.0000000000000001E-3</v>
      </c>
      <c r="C86">
        <v>0.11</v>
      </c>
      <c r="E86" t="s">
        <v>141</v>
      </c>
    </row>
    <row r="87" spans="1:19">
      <c r="A87" t="s">
        <v>41</v>
      </c>
      <c r="B87">
        <v>4.0000000000000001E-3</v>
      </c>
      <c r="C87">
        <v>0.11</v>
      </c>
      <c r="E87" t="s">
        <v>142</v>
      </c>
    </row>
    <row r="88" spans="1:19">
      <c r="A88" t="s">
        <v>47</v>
      </c>
      <c r="B88">
        <v>4.0000000000000001E-3</v>
      </c>
      <c r="C88">
        <v>0.11</v>
      </c>
      <c r="E88" t="s">
        <v>143</v>
      </c>
    </row>
    <row r="89" spans="1:19">
      <c r="A89" t="s">
        <v>45</v>
      </c>
      <c r="B89">
        <v>4.0000000000000001E-3</v>
      </c>
      <c r="C89">
        <v>0.11</v>
      </c>
    </row>
    <row r="90" spans="1:19">
      <c r="A90" t="s">
        <v>51</v>
      </c>
      <c r="B90">
        <v>4.0000000000000001E-3</v>
      </c>
      <c r="C90">
        <v>0.11</v>
      </c>
    </row>
    <row r="91" spans="1:19">
      <c r="A91" t="s">
        <v>53</v>
      </c>
      <c r="B91">
        <v>4.0000000000000001E-3</v>
      </c>
      <c r="C91">
        <v>0.11</v>
      </c>
    </row>
    <row r="92" spans="1:19">
      <c r="A92" t="s">
        <v>55</v>
      </c>
      <c r="B92">
        <v>4.0000000000000001E-3</v>
      </c>
      <c r="C92">
        <v>0.11</v>
      </c>
    </row>
    <row r="95" spans="1:19">
      <c r="B95" t="s">
        <v>144</v>
      </c>
    </row>
    <row r="96" spans="1:19">
      <c r="A96" s="5" t="s">
        <v>165</v>
      </c>
      <c r="B96" t="s">
        <v>145</v>
      </c>
      <c r="C96" t="s">
        <v>146</v>
      </c>
      <c r="D96" t="s">
        <v>153</v>
      </c>
      <c r="E96" t="s">
        <v>154</v>
      </c>
      <c r="F96" t="s">
        <v>155</v>
      </c>
      <c r="G96" t="s">
        <v>170</v>
      </c>
      <c r="H96" t="s">
        <v>168</v>
      </c>
      <c r="J96" t="s">
        <v>147</v>
      </c>
    </row>
    <row r="97" spans="1:14">
      <c r="A97" t="s">
        <v>35</v>
      </c>
      <c r="B97">
        <v>-12.903000000000002</v>
      </c>
      <c r="C97">
        <v>0.25</v>
      </c>
      <c r="G97" t="s">
        <v>171</v>
      </c>
      <c r="H97">
        <f>B97/-C97</f>
        <v>51.612000000000009</v>
      </c>
      <c r="J97" t="s">
        <v>159</v>
      </c>
    </row>
    <row r="98" spans="1:14">
      <c r="A98" t="s">
        <v>36</v>
      </c>
      <c r="B98">
        <v>-10</v>
      </c>
      <c r="C98">
        <v>0.25</v>
      </c>
      <c r="F98" s="1"/>
      <c r="G98" t="s">
        <v>137</v>
      </c>
      <c r="H98">
        <f>B98/-C98</f>
        <v>40</v>
      </c>
      <c r="J98" t="s">
        <v>148</v>
      </c>
    </row>
    <row r="99" spans="1:14">
      <c r="A99" t="s">
        <v>38</v>
      </c>
      <c r="B99">
        <v>-4</v>
      </c>
      <c r="C99">
        <v>0.25</v>
      </c>
      <c r="G99" t="s">
        <v>137</v>
      </c>
      <c r="H99">
        <f>B99/-C99</f>
        <v>16</v>
      </c>
      <c r="J99" t="s">
        <v>149</v>
      </c>
    </row>
    <row r="100" spans="1:14">
      <c r="A100" t="s">
        <v>40</v>
      </c>
      <c r="B100">
        <f>-C100*E100*F100</f>
        <v>-12.903000000000002</v>
      </c>
      <c r="C100">
        <f>D100</f>
        <v>0.25</v>
      </c>
      <c r="D100">
        <v>0.25</v>
      </c>
      <c r="E100">
        <v>3.74</v>
      </c>
      <c r="F100">
        <f>AVERAGE(10.5,13.5,13.5,13.5,14,15.5,14,15.2,13,14,15.5,13,14,15.5,14,9,14,15.5,15.5,12,13.5,13.7,13.7,13.7,13.8,13.8,13.8,14.1,14.1,14.1,14.3,14.3)</f>
        <v>13.800000000000002</v>
      </c>
      <c r="G100" t="s">
        <v>157</v>
      </c>
      <c r="H100">
        <f>B100/-C100</f>
        <v>51.612000000000009</v>
      </c>
      <c r="J100" t="s">
        <v>150</v>
      </c>
    </row>
    <row r="101" spans="1:14">
      <c r="A101" t="s">
        <v>41</v>
      </c>
      <c r="B101">
        <f>-C101*E101*F101</f>
        <v>-11.676711538461543</v>
      </c>
      <c r="C101">
        <f>D101</f>
        <v>0.25</v>
      </c>
      <c r="D101">
        <v>0.25</v>
      </c>
      <c r="E101">
        <v>3.74</v>
      </c>
      <c r="F101">
        <f>AVERAGE(10.7,13.8,13.8,13,13,13.5,14,6,6,7,9,12,14,12,13.5,13.7,13.7,13.7,13.8,13.8,13.8,14.1,14.1,14.1,14.3,14.3)</f>
        <v>12.488461538461543</v>
      </c>
      <c r="G101" t="s">
        <v>156</v>
      </c>
      <c r="H101">
        <f t="shared" ref="H101:H106" si="12">B101/-C101</f>
        <v>46.706846153846172</v>
      </c>
      <c r="J101" t="s">
        <v>161</v>
      </c>
    </row>
    <row r="102" spans="1:14">
      <c r="A102" t="s">
        <v>47</v>
      </c>
      <c r="B102">
        <f>-C102*E102*F102</f>
        <v>-15.44232</v>
      </c>
      <c r="C102">
        <f>D102</f>
        <v>0.48</v>
      </c>
      <c r="D102">
        <v>0.48</v>
      </c>
      <c r="E102">
        <v>2.35</v>
      </c>
      <c r="F102">
        <f>AVERAGE(10.2,13.3,13.3,14,15.2,12.9,14.5,15.5,14,14)</f>
        <v>13.690000000000001</v>
      </c>
      <c r="G102" t="s">
        <v>158</v>
      </c>
      <c r="H102">
        <f t="shared" si="12"/>
        <v>32.171500000000002</v>
      </c>
      <c r="J102" t="s">
        <v>151</v>
      </c>
    </row>
    <row r="103" spans="1:14">
      <c r="A103" t="s">
        <v>45</v>
      </c>
      <c r="B103">
        <f>-C103*E103*F103</f>
        <v>-13.89410625</v>
      </c>
      <c r="C103">
        <f>D103</f>
        <v>0.56999999999999995</v>
      </c>
      <c r="D103">
        <v>0.56999999999999995</v>
      </c>
      <c r="E103">
        <v>2.15</v>
      </c>
      <c r="F103">
        <f>AVERAGE(10.3,13.3,13.3,7.5,10.2,11.4,12.7,12)</f>
        <v>11.337500000000002</v>
      </c>
      <c r="G103" t="s">
        <v>158</v>
      </c>
      <c r="H103">
        <f t="shared" si="12"/>
        <v>24.375625000000003</v>
      </c>
      <c r="J103" t="s">
        <v>152</v>
      </c>
    </row>
    <row r="104" spans="1:14">
      <c r="A104" t="s">
        <v>51</v>
      </c>
      <c r="B104">
        <v>-5</v>
      </c>
      <c r="C104">
        <v>0.25</v>
      </c>
      <c r="G104" t="s">
        <v>137</v>
      </c>
      <c r="H104">
        <f t="shared" si="12"/>
        <v>20</v>
      </c>
      <c r="J104" t="s">
        <v>160</v>
      </c>
    </row>
    <row r="105" spans="1:14">
      <c r="A105" t="s">
        <v>53</v>
      </c>
      <c r="B105">
        <v>-6</v>
      </c>
      <c r="C105">
        <v>0.25</v>
      </c>
      <c r="G105" t="s">
        <v>137</v>
      </c>
      <c r="H105">
        <f t="shared" si="12"/>
        <v>24</v>
      </c>
    </row>
    <row r="106" spans="1:14">
      <c r="A106" t="s">
        <v>55</v>
      </c>
      <c r="B106">
        <v>-200</v>
      </c>
      <c r="C106">
        <v>1</v>
      </c>
      <c r="G106" t="s">
        <v>163</v>
      </c>
      <c r="H106">
        <f t="shared" si="12"/>
        <v>200</v>
      </c>
    </row>
    <row r="107" spans="1:14">
      <c r="J107" t="s">
        <v>167</v>
      </c>
    </row>
    <row r="108" spans="1:14">
      <c r="A108" s="5" t="s">
        <v>166</v>
      </c>
      <c r="B108" t="s">
        <v>145</v>
      </c>
      <c r="C108" t="s">
        <v>146</v>
      </c>
      <c r="D108" t="s">
        <v>153</v>
      </c>
      <c r="E108" t="s">
        <v>154</v>
      </c>
      <c r="F108" t="s">
        <v>162</v>
      </c>
      <c r="H108" t="s">
        <v>168</v>
      </c>
      <c r="J108" t="s">
        <v>169</v>
      </c>
    </row>
    <row r="109" spans="1:14">
      <c r="A109" t="s">
        <v>35</v>
      </c>
      <c r="B109">
        <v>-12.064800000000002</v>
      </c>
      <c r="C109">
        <v>0.22</v>
      </c>
      <c r="G109" t="s">
        <v>171</v>
      </c>
      <c r="H109">
        <f>B109/-C109</f>
        <v>54.840000000000011</v>
      </c>
      <c r="N109" s="1"/>
    </row>
    <row r="110" spans="1:14">
      <c r="A110" t="s">
        <v>36</v>
      </c>
      <c r="B110">
        <v>-10</v>
      </c>
      <c r="C110">
        <v>0.25</v>
      </c>
      <c r="G110" t="s">
        <v>137</v>
      </c>
      <c r="H110">
        <f>B110/-C110</f>
        <v>40</v>
      </c>
    </row>
    <row r="111" spans="1:14">
      <c r="A111" t="s">
        <v>38</v>
      </c>
      <c r="B111">
        <v>-200</v>
      </c>
      <c r="C111">
        <v>1</v>
      </c>
      <c r="G111" t="s">
        <v>163</v>
      </c>
      <c r="H111">
        <f>B111/-C111</f>
        <v>200</v>
      </c>
    </row>
    <row r="112" spans="1:14">
      <c r="A112" t="s">
        <v>40</v>
      </c>
      <c r="B112">
        <f>-C112*E112*F112</f>
        <v>-12.064800000000002</v>
      </c>
      <c r="C112">
        <f>D112</f>
        <v>0.22</v>
      </c>
      <c r="D112">
        <v>0.22</v>
      </c>
      <c r="E112">
        <v>4.57</v>
      </c>
      <c r="F112">
        <f>AVERAGE(14,12,10)</f>
        <v>12</v>
      </c>
      <c r="G112" t="s">
        <v>164</v>
      </c>
      <c r="H112">
        <f>B112/-C112</f>
        <v>54.840000000000011</v>
      </c>
    </row>
    <row r="113" spans="1:8">
      <c r="A113" t="s">
        <v>41</v>
      </c>
      <c r="B113">
        <v>-10</v>
      </c>
      <c r="C113">
        <v>0.25</v>
      </c>
      <c r="G113" t="s">
        <v>137</v>
      </c>
      <c r="H113">
        <f t="shared" ref="H113:H118" si="13">B113/-C113</f>
        <v>40</v>
      </c>
    </row>
    <row r="114" spans="1:8">
      <c r="A114" t="s">
        <v>47</v>
      </c>
      <c r="B114">
        <v>-200</v>
      </c>
      <c r="C114">
        <v>1</v>
      </c>
      <c r="G114" t="s">
        <v>163</v>
      </c>
      <c r="H114">
        <f t="shared" si="13"/>
        <v>200</v>
      </c>
    </row>
    <row r="115" spans="1:8">
      <c r="A115" t="s">
        <v>45</v>
      </c>
      <c r="B115">
        <v>-200</v>
      </c>
      <c r="C115">
        <v>1</v>
      </c>
      <c r="G115" t="s">
        <v>163</v>
      </c>
      <c r="H115">
        <f t="shared" si="13"/>
        <v>200</v>
      </c>
    </row>
    <row r="116" spans="1:8">
      <c r="A116" t="s">
        <v>51</v>
      </c>
      <c r="B116">
        <v>-200</v>
      </c>
      <c r="C116">
        <v>1</v>
      </c>
      <c r="G116" t="s">
        <v>163</v>
      </c>
      <c r="H116">
        <f t="shared" si="13"/>
        <v>200</v>
      </c>
    </row>
    <row r="117" spans="1:8">
      <c r="A117" t="s">
        <v>53</v>
      </c>
      <c r="B117">
        <v>-7</v>
      </c>
      <c r="C117">
        <v>0.25</v>
      </c>
      <c r="G117" t="s">
        <v>137</v>
      </c>
      <c r="H117">
        <f t="shared" si="13"/>
        <v>28</v>
      </c>
    </row>
    <row r="118" spans="1:8">
      <c r="A118" t="s">
        <v>55</v>
      </c>
      <c r="B118">
        <v>-200</v>
      </c>
      <c r="C118">
        <v>1</v>
      </c>
      <c r="G118" t="s">
        <v>163</v>
      </c>
      <c r="H118">
        <f t="shared" si="13"/>
        <v>200</v>
      </c>
    </row>
    <row r="120" spans="1:8">
      <c r="A120" t="s">
        <v>176</v>
      </c>
    </row>
    <row r="121" spans="1:8">
      <c r="B121" t="s">
        <v>172</v>
      </c>
      <c r="C121" t="s">
        <v>173</v>
      </c>
      <c r="E121" t="s">
        <v>174</v>
      </c>
      <c r="F121" t="s">
        <v>175</v>
      </c>
    </row>
    <row r="122" spans="1:8">
      <c r="B122">
        <v>-12.903000000000002</v>
      </c>
      <c r="C122">
        <v>-12.064800000000002</v>
      </c>
      <c r="E122">
        <v>0.25</v>
      </c>
      <c r="F122">
        <v>0.22</v>
      </c>
    </row>
    <row r="123" spans="1:8">
      <c r="B123">
        <v>-10</v>
      </c>
      <c r="C123">
        <v>-10</v>
      </c>
      <c r="E123">
        <v>0.25</v>
      </c>
      <c r="F123">
        <v>0.25</v>
      </c>
    </row>
    <row r="124" spans="1:8">
      <c r="B124">
        <v>-4</v>
      </c>
      <c r="C124">
        <v>-200</v>
      </c>
      <c r="E124">
        <v>0.25</v>
      </c>
      <c r="F124">
        <v>1</v>
      </c>
    </row>
    <row r="125" spans="1:8">
      <c r="B125">
        <v>-12.903000000000002</v>
      </c>
      <c r="C125">
        <v>-12.064800000000002</v>
      </c>
      <c r="E125">
        <v>0.25</v>
      </c>
      <c r="F125">
        <v>0.22</v>
      </c>
    </row>
    <row r="126" spans="1:8">
      <c r="B126">
        <v>-11.676711538461543</v>
      </c>
      <c r="C126">
        <v>-10</v>
      </c>
      <c r="E126">
        <v>0.25</v>
      </c>
      <c r="F126">
        <v>0.25</v>
      </c>
    </row>
    <row r="127" spans="1:8">
      <c r="B127">
        <v>-15.44232</v>
      </c>
      <c r="C127">
        <v>-200</v>
      </c>
      <c r="E127">
        <v>0.48</v>
      </c>
      <c r="F127">
        <v>1</v>
      </c>
    </row>
    <row r="128" spans="1:8">
      <c r="B128">
        <v>-13.89410625</v>
      </c>
      <c r="C128">
        <v>-200</v>
      </c>
      <c r="E128">
        <v>0.56999999999999995</v>
      </c>
      <c r="F128">
        <v>1</v>
      </c>
    </row>
    <row r="129" spans="2:6">
      <c r="B129">
        <v>-5</v>
      </c>
      <c r="C129">
        <v>-200</v>
      </c>
      <c r="E129">
        <v>0.25</v>
      </c>
      <c r="F129">
        <v>1</v>
      </c>
    </row>
    <row r="130" spans="2:6">
      <c r="B130">
        <v>-6</v>
      </c>
      <c r="C130">
        <v>-7</v>
      </c>
      <c r="E130">
        <v>0.25</v>
      </c>
      <c r="F130">
        <v>0.25</v>
      </c>
    </row>
    <row r="131" spans="2:6">
      <c r="B131">
        <v>-200</v>
      </c>
      <c r="C131">
        <v>-200</v>
      </c>
      <c r="E131">
        <v>1</v>
      </c>
      <c r="F131">
        <v>1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4"/>
  <sheetViews>
    <sheetView tabSelected="1" workbookViewId="0">
      <selection activeCell="U37" sqref="U37"/>
    </sheetView>
  </sheetViews>
  <sheetFormatPr baseColWidth="10" defaultColWidth="8.83203125" defaultRowHeight="14" x14ac:dyDescent="0"/>
  <sheetData>
    <row r="1" spans="1:27">
      <c r="B1">
        <v>9.8765333333333327</v>
      </c>
      <c r="C1">
        <v>9.8765333333333327</v>
      </c>
      <c r="D1">
        <v>9.8765333333333327</v>
      </c>
      <c r="E1">
        <v>9.8765333333333327</v>
      </c>
      <c r="F1">
        <v>9.8765333333333327</v>
      </c>
      <c r="G1">
        <v>9.8765333333333327</v>
      </c>
      <c r="H1">
        <v>9.8765333333333327</v>
      </c>
      <c r="I1">
        <v>9.8765333333333327</v>
      </c>
      <c r="J1">
        <v>9.8765333333333327</v>
      </c>
      <c r="K1">
        <v>9.8765333333333327</v>
      </c>
      <c r="L1">
        <v>9.8765333333333327</v>
      </c>
      <c r="M1">
        <v>9.8765333333333327</v>
      </c>
      <c r="N1">
        <v>9.8765333333333327</v>
      </c>
      <c r="O1">
        <v>9.8765333333333327</v>
      </c>
      <c r="P1">
        <v>9.8765333333333327</v>
      </c>
      <c r="Q1" t="s">
        <v>70</v>
      </c>
      <c r="R1" t="s">
        <v>66</v>
      </c>
    </row>
    <row r="2" spans="1:27">
      <c r="A2" t="s">
        <v>64</v>
      </c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110</v>
      </c>
      <c r="M2">
        <v>120</v>
      </c>
      <c r="N2">
        <v>130</v>
      </c>
      <c r="O2">
        <v>140</v>
      </c>
      <c r="P2">
        <v>150</v>
      </c>
      <c r="Q2" t="s">
        <v>75</v>
      </c>
      <c r="R2">
        <f>148*1.001</f>
        <v>148.148</v>
      </c>
      <c r="S2" t="s">
        <v>65</v>
      </c>
    </row>
    <row r="3" spans="1:27">
      <c r="A3" t="s">
        <v>35</v>
      </c>
      <c r="B3" s="2">
        <v>0.66268857999999997</v>
      </c>
      <c r="C3" s="2">
        <v>0.78275415000000004</v>
      </c>
      <c r="D3" s="2">
        <v>0.69471070000000001</v>
      </c>
      <c r="E3" s="2">
        <v>0.61053491999999998</v>
      </c>
      <c r="F3" s="2">
        <v>0.52648702999999997</v>
      </c>
      <c r="G3" s="2">
        <v>0.44055388000000001</v>
      </c>
      <c r="H3" s="2">
        <v>0.35183218999999999</v>
      </c>
      <c r="I3" s="2">
        <v>0.26060896</v>
      </c>
      <c r="J3" s="2">
        <v>0.16915631</v>
      </c>
      <c r="K3" s="2">
        <v>8.5657367999999998E-2</v>
      </c>
      <c r="L3" s="2">
        <v>1.4235365E-2</v>
      </c>
      <c r="M3" s="2">
        <v>0</v>
      </c>
      <c r="N3" s="2">
        <v>0</v>
      </c>
      <c r="O3" s="2">
        <v>0</v>
      </c>
      <c r="P3" s="2">
        <v>0</v>
      </c>
      <c r="Q3">
        <v>1</v>
      </c>
      <c r="R3">
        <v>15</v>
      </c>
      <c r="S3" t="s">
        <v>67</v>
      </c>
      <c r="T3" t="s">
        <v>68</v>
      </c>
    </row>
    <row r="4" spans="1:27">
      <c r="A4" t="s">
        <v>36</v>
      </c>
      <c r="B4" s="2">
        <v>1.5164249999999999</v>
      </c>
      <c r="C4" s="2">
        <v>2.3197348999999998</v>
      </c>
      <c r="D4" s="2">
        <v>2.2095006000000001</v>
      </c>
      <c r="E4" s="2">
        <v>2.1042627</v>
      </c>
      <c r="F4" s="2">
        <v>1.9980525</v>
      </c>
      <c r="G4" s="2">
        <v>1.8843574000000001</v>
      </c>
      <c r="H4" s="2">
        <v>1.7559598000000001</v>
      </c>
      <c r="I4" s="2">
        <v>1.6025068</v>
      </c>
      <c r="J4" s="2">
        <v>1.4068569</v>
      </c>
      <c r="K4" s="2">
        <v>1.1422228999999999</v>
      </c>
      <c r="L4" s="2">
        <v>0.78245253000000003</v>
      </c>
      <c r="M4" s="2">
        <v>0.34917710000000002</v>
      </c>
      <c r="N4" s="2">
        <v>0</v>
      </c>
      <c r="O4" s="2">
        <v>0</v>
      </c>
      <c r="P4" s="2">
        <v>0</v>
      </c>
      <c r="Q4">
        <v>1</v>
      </c>
      <c r="R4">
        <f>R2/R3</f>
        <v>9.8765333333333327</v>
      </c>
      <c r="S4" t="s">
        <v>69</v>
      </c>
    </row>
    <row r="5" spans="1:27">
      <c r="A5" s="15" t="s">
        <v>37</v>
      </c>
      <c r="B5" s="16">
        <v>2.6402269</v>
      </c>
      <c r="C5" s="16">
        <v>4.7836717000000002</v>
      </c>
      <c r="D5" s="16">
        <v>5.3512421999999997</v>
      </c>
      <c r="E5" s="16">
        <v>6.3066725000000003</v>
      </c>
      <c r="F5" s="16">
        <v>8.5388107000000009</v>
      </c>
      <c r="G5" s="16">
        <v>11.161203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</row>
    <row r="6" spans="1:27">
      <c r="A6" s="15" t="s">
        <v>252</v>
      </c>
      <c r="B6" s="16">
        <f>SUM(B4:B5)</f>
        <v>4.1566519</v>
      </c>
      <c r="C6" s="16">
        <f t="shared" ref="C6:P6" si="0">SUM(C4:C5)</f>
        <v>7.1034065999999996</v>
      </c>
      <c r="D6" s="16">
        <f t="shared" si="0"/>
        <v>7.5607427999999999</v>
      </c>
      <c r="E6" s="16">
        <f t="shared" si="0"/>
        <v>8.4109352000000008</v>
      </c>
      <c r="F6" s="16">
        <f t="shared" si="0"/>
        <v>10.536863200000001</v>
      </c>
      <c r="G6" s="16">
        <f t="shared" si="0"/>
        <v>13.045560400000001</v>
      </c>
      <c r="H6" s="16">
        <f t="shared" si="0"/>
        <v>1.7559598000000001</v>
      </c>
      <c r="I6" s="16">
        <f t="shared" si="0"/>
        <v>1.6025068</v>
      </c>
      <c r="J6" s="16">
        <f t="shared" si="0"/>
        <v>1.4068569</v>
      </c>
      <c r="K6" s="16">
        <f t="shared" si="0"/>
        <v>1.1422228999999999</v>
      </c>
      <c r="L6" s="16">
        <f t="shared" si="0"/>
        <v>0.78245253000000003</v>
      </c>
      <c r="M6" s="16">
        <f t="shared" si="0"/>
        <v>0.34917710000000002</v>
      </c>
      <c r="N6" s="16">
        <f t="shared" si="0"/>
        <v>0</v>
      </c>
      <c r="O6" s="16">
        <f t="shared" si="0"/>
        <v>0</v>
      </c>
      <c r="P6" s="16">
        <f t="shared" si="0"/>
        <v>0</v>
      </c>
      <c r="R6" t="s">
        <v>254</v>
      </c>
    </row>
    <row r="7" spans="1:27">
      <c r="A7" t="s">
        <v>38</v>
      </c>
      <c r="B7" s="2">
        <v>80.697299000000001</v>
      </c>
      <c r="C7" s="2">
        <v>85.853258999999994</v>
      </c>
      <c r="D7" s="2">
        <v>58.989362999999997</v>
      </c>
      <c r="E7" s="2">
        <v>30.434225999999999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>
        <v>1</v>
      </c>
    </row>
    <row r="8" spans="1:27">
      <c r="A8" t="s">
        <v>40</v>
      </c>
      <c r="B8" s="2">
        <v>1.0007063</v>
      </c>
      <c r="C8" s="2">
        <v>1.4690810000000001</v>
      </c>
      <c r="D8" s="2">
        <v>1.1813408000000001</v>
      </c>
      <c r="E8" s="2">
        <v>0.94423672000000003</v>
      </c>
      <c r="F8" s="2">
        <v>0.76798</v>
      </c>
      <c r="G8" s="2">
        <v>0.63579078</v>
      </c>
      <c r="H8" s="2">
        <v>0.53201978000000005</v>
      </c>
      <c r="I8" s="2">
        <v>0.44576676999999998</v>
      </c>
      <c r="J8" s="2">
        <v>0.37443163000000002</v>
      </c>
      <c r="K8" s="2">
        <v>0.30532796000000001</v>
      </c>
      <c r="L8" s="2">
        <v>0.23426737</v>
      </c>
      <c r="M8" s="2">
        <v>0.16154442999999999</v>
      </c>
      <c r="N8" s="2">
        <v>9.2194445E-2</v>
      </c>
      <c r="O8" s="2">
        <v>3.3492511000000003E-2</v>
      </c>
      <c r="P8" s="2">
        <v>5.6977633999999999E-3</v>
      </c>
      <c r="Q8">
        <v>1</v>
      </c>
    </row>
    <row r="9" spans="1:27">
      <c r="A9" t="s">
        <v>41</v>
      </c>
      <c r="B9" s="2">
        <v>4.2530649</v>
      </c>
      <c r="C9" s="2">
        <v>10.51529</v>
      </c>
      <c r="D9" s="2">
        <v>10.007216</v>
      </c>
      <c r="E9" s="2">
        <v>9.5831648999999999</v>
      </c>
      <c r="F9" s="2">
        <v>9.4794295000000002</v>
      </c>
      <c r="G9" s="2">
        <v>9.8232771999999997</v>
      </c>
      <c r="H9" s="2">
        <v>11.135063000000001</v>
      </c>
      <c r="I9" s="2">
        <v>12.677524999999999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>
        <v>1</v>
      </c>
    </row>
    <row r="10" spans="1:27">
      <c r="A10" t="s">
        <v>47</v>
      </c>
      <c r="B10" s="2">
        <v>3.9070122999999999</v>
      </c>
      <c r="C10" s="2">
        <v>6.6463913000000003</v>
      </c>
      <c r="D10" s="2">
        <v>7.4657787000000004</v>
      </c>
      <c r="E10" s="2">
        <v>8.9445013000000007</v>
      </c>
      <c r="F10" s="2">
        <v>14.069671</v>
      </c>
      <c r="G10" s="2">
        <v>8.0870080000000009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>
        <v>1</v>
      </c>
    </row>
    <row r="11" spans="1:27">
      <c r="A11" t="s">
        <v>45</v>
      </c>
      <c r="B11" s="2">
        <v>1.9002648</v>
      </c>
      <c r="C11" s="2">
        <v>2.8288026999999998</v>
      </c>
      <c r="D11" s="2">
        <v>3.1164227000000002</v>
      </c>
      <c r="E11" s="2">
        <v>3.7002457</v>
      </c>
      <c r="F11" s="2">
        <v>5.3006770000000003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>
        <v>1</v>
      </c>
    </row>
    <row r="12" spans="1:27">
      <c r="A12" t="s">
        <v>51</v>
      </c>
      <c r="B12" s="2">
        <v>5.678337</v>
      </c>
      <c r="C12" s="2">
        <v>7.2383546000000001</v>
      </c>
      <c r="D12" s="2">
        <v>6.5280455999999996</v>
      </c>
      <c r="E12" s="2">
        <v>5.8381125999999997</v>
      </c>
      <c r="F12" s="2">
        <v>5.2898120999999998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>
        <v>1</v>
      </c>
    </row>
    <row r="13" spans="1:27">
      <c r="A13" s="17" t="s">
        <v>39</v>
      </c>
      <c r="B13" s="18">
        <v>4.4434731999999997</v>
      </c>
      <c r="C13" s="18">
        <v>5.0468111000000002</v>
      </c>
      <c r="D13" s="18">
        <v>3.6543024000000002</v>
      </c>
      <c r="E13" s="18">
        <v>2.5206962000000002</v>
      </c>
      <c r="F13" s="18">
        <v>1.6896202</v>
      </c>
      <c r="G13" s="18">
        <v>1.0732097</v>
      </c>
      <c r="H13" s="18">
        <v>0.55270109999999995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>
        <v>1</v>
      </c>
      <c r="X13" t="s">
        <v>117</v>
      </c>
      <c r="Y13" t="s">
        <v>118</v>
      </c>
    </row>
    <row r="14" spans="1:27">
      <c r="A14" s="17" t="s">
        <v>54</v>
      </c>
      <c r="B14" s="18">
        <v>0.14683387000000001</v>
      </c>
      <c r="C14" s="18">
        <v>0.19944634</v>
      </c>
      <c r="D14" s="18">
        <v>0.18371622000000001</v>
      </c>
      <c r="E14" s="18">
        <v>0.16863677999999999</v>
      </c>
      <c r="F14" s="18">
        <v>0.15346563999999999</v>
      </c>
      <c r="G14" s="18">
        <v>0.13773194</v>
      </c>
      <c r="H14" s="18">
        <v>0.12109971999999999</v>
      </c>
      <c r="I14" s="18">
        <v>0.10330729</v>
      </c>
      <c r="J14" s="18">
        <v>8.4151179000000007E-2</v>
      </c>
      <c r="K14" s="18">
        <v>6.3570465000000007E-2</v>
      </c>
      <c r="L14" s="18">
        <v>4.2037880999999999E-2</v>
      </c>
      <c r="M14" s="18">
        <v>2.1529942999999999E-2</v>
      </c>
      <c r="N14" s="18">
        <v>7.2207089E-3</v>
      </c>
      <c r="O14" s="18">
        <v>0</v>
      </c>
      <c r="P14" s="18">
        <v>0</v>
      </c>
      <c r="Q14">
        <v>1</v>
      </c>
      <c r="U14" t="s">
        <v>96</v>
      </c>
      <c r="X14" t="s">
        <v>116</v>
      </c>
    </row>
    <row r="15" spans="1:27">
      <c r="N15" t="s">
        <v>70</v>
      </c>
      <c r="U15" t="s">
        <v>95</v>
      </c>
      <c r="X15" t="s">
        <v>119</v>
      </c>
    </row>
    <row r="16" spans="1:27">
      <c r="A16" t="s">
        <v>0</v>
      </c>
      <c r="B16" s="40" t="s">
        <v>281</v>
      </c>
      <c r="C16" s="40" t="s">
        <v>282</v>
      </c>
      <c r="D16" t="s">
        <v>91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73</v>
      </c>
      <c r="K16" t="s">
        <v>65</v>
      </c>
      <c r="L16" t="s">
        <v>76</v>
      </c>
      <c r="M16" t="s">
        <v>75</v>
      </c>
      <c r="T16" t="s">
        <v>92</v>
      </c>
      <c r="U16" t="s">
        <v>93</v>
      </c>
      <c r="V16" t="s">
        <v>94</v>
      </c>
      <c r="X16" t="s">
        <v>93</v>
      </c>
      <c r="Y16" t="s">
        <v>94</v>
      </c>
      <c r="AA16" t="s">
        <v>91</v>
      </c>
    </row>
    <row r="17" spans="1:30">
      <c r="A17" s="28" t="s">
        <v>35</v>
      </c>
      <c r="B17" s="29">
        <v>0.1</v>
      </c>
      <c r="C17" s="30">
        <v>99.99</v>
      </c>
      <c r="D17">
        <v>79.989999999999995</v>
      </c>
      <c r="E17">
        <v>0.58699999999999997</v>
      </c>
      <c r="F17">
        <v>3.0000000000000001E-3</v>
      </c>
      <c r="G17">
        <v>3.1219999999999999</v>
      </c>
      <c r="H17">
        <v>16.125</v>
      </c>
      <c r="I17">
        <v>1</v>
      </c>
      <c r="J17">
        <v>1</v>
      </c>
      <c r="K17">
        <f t="shared" ref="K17:K26" si="1">C17*1.01</f>
        <v>100.98989999999999</v>
      </c>
      <c r="L17">
        <f>SUM(N17:R17)</f>
        <v>110</v>
      </c>
      <c r="M17">
        <v>1</v>
      </c>
      <c r="N17">
        <v>20</v>
      </c>
      <c r="O17">
        <v>20</v>
      </c>
      <c r="P17">
        <v>20</v>
      </c>
      <c r="Q17">
        <v>20</v>
      </c>
      <c r="R17">
        <v>30</v>
      </c>
      <c r="T17">
        <v>4</v>
      </c>
      <c r="U17">
        <v>-5</v>
      </c>
      <c r="V17">
        <v>0.1</v>
      </c>
      <c r="W17" t="s">
        <v>35</v>
      </c>
    </row>
    <row r="18" spans="1:30">
      <c r="A18" s="31" t="s">
        <v>36</v>
      </c>
      <c r="B18" s="32">
        <v>0.14405000000000001</v>
      </c>
      <c r="C18" s="33">
        <v>114.1</v>
      </c>
      <c r="D18">
        <v>85</v>
      </c>
      <c r="E18">
        <v>0.58699999999999997</v>
      </c>
      <c r="F18">
        <v>4.0000000000000001E-3</v>
      </c>
      <c r="G18">
        <v>3.3170000000000002</v>
      </c>
      <c r="H18">
        <v>83.96</v>
      </c>
      <c r="I18">
        <v>1</v>
      </c>
      <c r="J18" t="s">
        <v>74</v>
      </c>
      <c r="K18">
        <f t="shared" si="1"/>
        <v>115.241</v>
      </c>
      <c r="L18">
        <f t="shared" ref="L18:L25" si="2">SUM(N18:R18)</f>
        <v>120</v>
      </c>
      <c r="M18">
        <v>1</v>
      </c>
      <c r="N18">
        <v>20</v>
      </c>
      <c r="O18">
        <v>20</v>
      </c>
      <c r="P18">
        <v>20</v>
      </c>
      <c r="Q18">
        <v>20</v>
      </c>
      <c r="R18">
        <v>40</v>
      </c>
      <c r="T18">
        <v>5</v>
      </c>
      <c r="U18">
        <v>-5</v>
      </c>
      <c r="V18">
        <v>0.1</v>
      </c>
      <c r="W18" t="s">
        <v>36</v>
      </c>
    </row>
    <row r="19" spans="1:30">
      <c r="A19" s="31" t="s">
        <v>38</v>
      </c>
      <c r="B19" s="32">
        <v>0.28000000000000003</v>
      </c>
      <c r="C19" s="33">
        <v>34.99</v>
      </c>
      <c r="D19">
        <v>25</v>
      </c>
      <c r="E19">
        <v>0.58699999999999997</v>
      </c>
      <c r="F19">
        <v>0.01</v>
      </c>
      <c r="G19">
        <v>2.99</v>
      </c>
      <c r="H19">
        <v>101.91</v>
      </c>
      <c r="I19">
        <v>1</v>
      </c>
      <c r="J19">
        <v>1</v>
      </c>
      <c r="K19">
        <f t="shared" si="1"/>
        <v>35.3399</v>
      </c>
      <c r="L19">
        <f t="shared" si="2"/>
        <v>40</v>
      </c>
      <c r="M19">
        <v>1</v>
      </c>
      <c r="N19">
        <v>5</v>
      </c>
      <c r="O19">
        <v>5</v>
      </c>
      <c r="P19" s="40">
        <v>5</v>
      </c>
      <c r="Q19" s="40">
        <v>5</v>
      </c>
      <c r="R19" s="40">
        <v>20</v>
      </c>
      <c r="T19">
        <v>5</v>
      </c>
      <c r="U19">
        <v>-5</v>
      </c>
      <c r="V19">
        <v>0.2</v>
      </c>
      <c r="W19" t="s">
        <v>38</v>
      </c>
      <c r="X19" s="20">
        <f>AVERAGE(-28.484,-40.461)</f>
        <v>-34.472499999999997</v>
      </c>
      <c r="Y19" s="20">
        <f>AVERAGE(1.123,1.597)</f>
        <v>1.3599999999999999</v>
      </c>
      <c r="Z19" s="20" t="s">
        <v>256</v>
      </c>
      <c r="AA19" s="20">
        <f>AVERAGE(25.4,25.3)</f>
        <v>25.35</v>
      </c>
    </row>
    <row r="20" spans="1:30">
      <c r="A20" s="31" t="s">
        <v>40</v>
      </c>
      <c r="B20" s="32">
        <v>0.12</v>
      </c>
      <c r="C20" s="33">
        <v>148</v>
      </c>
      <c r="D20">
        <v>39.99</v>
      </c>
      <c r="E20">
        <v>0.14899999999999999</v>
      </c>
      <c r="F20">
        <v>8.9999999999999993E-3</v>
      </c>
      <c r="G20">
        <v>3.052</v>
      </c>
      <c r="H20">
        <v>71.17</v>
      </c>
      <c r="I20">
        <v>1</v>
      </c>
      <c r="J20">
        <v>1</v>
      </c>
      <c r="K20">
        <f t="shared" si="1"/>
        <v>149.47999999999999</v>
      </c>
      <c r="L20">
        <f t="shared" si="2"/>
        <v>150</v>
      </c>
      <c r="M20">
        <v>1</v>
      </c>
      <c r="N20">
        <v>20</v>
      </c>
      <c r="O20">
        <v>20</v>
      </c>
      <c r="P20">
        <v>20</v>
      </c>
      <c r="Q20">
        <v>40</v>
      </c>
      <c r="R20">
        <v>50</v>
      </c>
      <c r="T20">
        <v>3</v>
      </c>
      <c r="U20">
        <v>-5</v>
      </c>
      <c r="V20">
        <v>0.16</v>
      </c>
      <c r="W20" t="s">
        <v>40</v>
      </c>
      <c r="X20" s="20">
        <f>AVERAGE(-4.932,-5.688)</f>
        <v>-5.3100000000000005</v>
      </c>
      <c r="Y20" s="20">
        <f>AVERAGE(0.127,0.139)</f>
        <v>0.13300000000000001</v>
      </c>
      <c r="Z20" s="20" t="s">
        <v>120</v>
      </c>
      <c r="AA20" s="20">
        <f>AVERAGE(38.8,41)</f>
        <v>39.9</v>
      </c>
    </row>
    <row r="21" spans="1:30">
      <c r="A21" s="31" t="s">
        <v>41</v>
      </c>
      <c r="B21" s="32">
        <v>0.376</v>
      </c>
      <c r="C21" s="33">
        <v>73.8</v>
      </c>
      <c r="D21">
        <v>28</v>
      </c>
      <c r="E21">
        <v>0.3745</v>
      </c>
      <c r="F21">
        <v>0.01</v>
      </c>
      <c r="G21">
        <v>3.0680000000000001</v>
      </c>
      <c r="H21">
        <v>250.69</v>
      </c>
      <c r="I21">
        <v>1</v>
      </c>
      <c r="J21">
        <v>1</v>
      </c>
      <c r="K21">
        <f t="shared" si="1"/>
        <v>74.537999999999997</v>
      </c>
      <c r="L21">
        <f t="shared" si="2"/>
        <v>80</v>
      </c>
      <c r="M21">
        <v>1</v>
      </c>
      <c r="N21">
        <v>10</v>
      </c>
      <c r="O21">
        <v>10</v>
      </c>
      <c r="P21">
        <v>20</v>
      </c>
      <c r="Q21">
        <v>20</v>
      </c>
      <c r="R21">
        <v>20</v>
      </c>
      <c r="T21">
        <v>3</v>
      </c>
      <c r="U21">
        <v>-5</v>
      </c>
      <c r="V21">
        <v>0.13</v>
      </c>
      <c r="W21" t="s">
        <v>41</v>
      </c>
      <c r="X21" s="20">
        <f>AVERAGE(-6.252,-5.064)</f>
        <v>-5.6579999999999995</v>
      </c>
      <c r="Y21" s="20">
        <f>AVERAGE(0.21,0.189)</f>
        <v>0.19950000000000001</v>
      </c>
      <c r="Z21" s="20" t="s">
        <v>120</v>
      </c>
      <c r="AA21" s="20">
        <f>AVERAGE(29.7,26.8)</f>
        <v>28.25</v>
      </c>
    </row>
    <row r="22" spans="1:30">
      <c r="A22" s="31" t="s">
        <v>47</v>
      </c>
      <c r="B22" s="32">
        <v>0.33500000000000002</v>
      </c>
      <c r="C22" s="33">
        <v>49.99</v>
      </c>
      <c r="D22">
        <v>23</v>
      </c>
      <c r="E22">
        <v>0.48699999999999999</v>
      </c>
      <c r="F22">
        <v>8.0000000000000002E-3</v>
      </c>
      <c r="G22">
        <v>3.129</v>
      </c>
      <c r="H22">
        <v>48.16</v>
      </c>
      <c r="I22">
        <v>1</v>
      </c>
      <c r="J22">
        <v>1</v>
      </c>
      <c r="K22">
        <f t="shared" si="1"/>
        <v>50.489900000000006</v>
      </c>
      <c r="L22">
        <f t="shared" si="2"/>
        <v>60</v>
      </c>
      <c r="M22">
        <v>1</v>
      </c>
      <c r="N22">
        <v>10</v>
      </c>
      <c r="O22">
        <v>10</v>
      </c>
      <c r="P22">
        <v>10</v>
      </c>
      <c r="Q22">
        <v>10</v>
      </c>
      <c r="R22">
        <v>20</v>
      </c>
      <c r="T22">
        <v>3</v>
      </c>
      <c r="U22">
        <v>-5</v>
      </c>
      <c r="V22">
        <v>0.2</v>
      </c>
      <c r="W22" t="s">
        <v>47</v>
      </c>
      <c r="X22" s="20">
        <f>AVERAGE(-15.136,-8.145)</f>
        <v>-11.640499999999999</v>
      </c>
      <c r="Y22" s="20">
        <f>AVERAGE(0.587,0.381)</f>
        <v>0.48399999999999999</v>
      </c>
      <c r="Z22" s="20" t="s">
        <v>120</v>
      </c>
      <c r="AA22" s="20">
        <f>AVERAGE(25.8, 21.4)</f>
        <v>23.6</v>
      </c>
    </row>
    <row r="23" spans="1:30">
      <c r="A23" s="31" t="s">
        <v>45</v>
      </c>
      <c r="B23" s="32">
        <v>0.28299999999999997</v>
      </c>
      <c r="C23" s="33">
        <v>45.5</v>
      </c>
      <c r="D23">
        <v>25</v>
      </c>
      <c r="E23">
        <v>0.58699999999999997</v>
      </c>
      <c r="F23">
        <v>1.0999999999999999E-2</v>
      </c>
      <c r="G23">
        <v>3.1379999999999999</v>
      </c>
      <c r="H23">
        <v>13.33</v>
      </c>
      <c r="I23">
        <v>1</v>
      </c>
      <c r="J23">
        <v>1</v>
      </c>
      <c r="K23">
        <f t="shared" si="1"/>
        <v>45.954999999999998</v>
      </c>
      <c r="L23">
        <f t="shared" si="2"/>
        <v>50</v>
      </c>
      <c r="M23">
        <v>1</v>
      </c>
      <c r="N23">
        <v>10</v>
      </c>
      <c r="O23">
        <v>10</v>
      </c>
      <c r="P23">
        <v>10</v>
      </c>
      <c r="Q23">
        <v>10</v>
      </c>
      <c r="R23">
        <v>10</v>
      </c>
      <c r="T23">
        <v>3</v>
      </c>
      <c r="U23">
        <v>-5</v>
      </c>
      <c r="V23">
        <v>0.2</v>
      </c>
      <c r="W23" t="s">
        <v>45</v>
      </c>
      <c r="X23" s="20">
        <f>AVERAGE(-10.855,-7.724)</f>
        <v>-9.2895000000000003</v>
      </c>
      <c r="Y23" s="20">
        <f>AVERAGE(0.436,0.301)</f>
        <v>0.36849999999999999</v>
      </c>
      <c r="Z23" s="20" t="s">
        <v>120</v>
      </c>
      <c r="AA23" s="20">
        <f>AVERAGE(24.9,25.6)</f>
        <v>25.25</v>
      </c>
    </row>
    <row r="24" spans="1:30">
      <c r="A24" s="31" t="s">
        <v>51</v>
      </c>
      <c r="B24" s="32">
        <v>0.24299999999999999</v>
      </c>
      <c r="C24" s="33">
        <v>46.1</v>
      </c>
      <c r="D24">
        <v>29.99</v>
      </c>
      <c r="E24">
        <v>0.64100000000000001</v>
      </c>
      <c r="F24">
        <v>7.0000000000000001E-3</v>
      </c>
      <c r="G24">
        <v>3.319</v>
      </c>
      <c r="H24">
        <v>23.87</v>
      </c>
      <c r="I24">
        <v>1</v>
      </c>
      <c r="J24">
        <v>1</v>
      </c>
      <c r="K24">
        <f t="shared" si="1"/>
        <v>46.561</v>
      </c>
      <c r="L24">
        <f t="shared" si="2"/>
        <v>50</v>
      </c>
      <c r="M24">
        <v>1</v>
      </c>
      <c r="N24">
        <v>10</v>
      </c>
      <c r="O24">
        <v>10</v>
      </c>
      <c r="P24">
        <v>10</v>
      </c>
      <c r="Q24">
        <v>10</v>
      </c>
      <c r="R24">
        <v>10</v>
      </c>
      <c r="T24">
        <v>3</v>
      </c>
      <c r="U24">
        <v>-5</v>
      </c>
      <c r="V24">
        <v>0.2</v>
      </c>
      <c r="W24" t="s">
        <v>51</v>
      </c>
      <c r="X24" s="20">
        <f>AVERAGE(-16.475,-17.102)</f>
        <v>-16.788499999999999</v>
      </c>
      <c r="Y24" s="20">
        <f>AVERAGE(0.641,0.658)</f>
        <v>0.64949999999999997</v>
      </c>
      <c r="Z24" s="20" t="s">
        <v>256</v>
      </c>
      <c r="AA24" s="20">
        <f>AVERAGE(25.7,26)</f>
        <v>25.85</v>
      </c>
    </row>
    <row r="25" spans="1:30">
      <c r="A25" s="34" t="s">
        <v>39</v>
      </c>
      <c r="B25" s="35">
        <v>0.18</v>
      </c>
      <c r="C25" s="36">
        <v>65.400000000000006</v>
      </c>
      <c r="D25" s="17">
        <v>23</v>
      </c>
      <c r="E25" s="17">
        <v>0.58699999999999997</v>
      </c>
      <c r="F25" s="17">
        <v>7.0000000000000001E-3</v>
      </c>
      <c r="G25" s="17">
        <v>3.05</v>
      </c>
      <c r="H25" s="17">
        <v>25.8</v>
      </c>
      <c r="I25" s="17">
        <v>1</v>
      </c>
      <c r="J25" s="17">
        <v>0</v>
      </c>
      <c r="K25" s="17">
        <f t="shared" si="1"/>
        <v>66.054000000000002</v>
      </c>
      <c r="L25">
        <f t="shared" si="2"/>
        <v>70</v>
      </c>
      <c r="M25">
        <v>1</v>
      </c>
      <c r="N25" s="17">
        <v>10</v>
      </c>
      <c r="O25" s="17">
        <v>10</v>
      </c>
      <c r="P25" s="17">
        <v>10</v>
      </c>
      <c r="Q25" s="41">
        <v>10</v>
      </c>
      <c r="R25" s="41">
        <v>30</v>
      </c>
      <c r="T25">
        <v>3</v>
      </c>
      <c r="U25">
        <v>-5</v>
      </c>
      <c r="V25">
        <v>0.2</v>
      </c>
      <c r="W25" s="17" t="s">
        <v>39</v>
      </c>
      <c r="X25" s="20">
        <f>AVERAGE(-11.963, -14.369)</f>
        <v>-13.166</v>
      </c>
      <c r="Y25" s="20">
        <f>AVERAGE(0.519, 0.646)</f>
        <v>0.58250000000000002</v>
      </c>
      <c r="Z25" s="20" t="s">
        <v>255</v>
      </c>
      <c r="AA25" s="20">
        <f>AVERAGE(23.1, 22.3)</f>
        <v>22.700000000000003</v>
      </c>
      <c r="AB25" t="s">
        <v>265</v>
      </c>
    </row>
    <row r="26" spans="1:30">
      <c r="A26" s="37" t="s">
        <v>54</v>
      </c>
      <c r="B26" s="38">
        <v>0.108</v>
      </c>
      <c r="C26" s="39">
        <v>126</v>
      </c>
      <c r="D26" s="17">
        <v>49</v>
      </c>
      <c r="E26" s="17">
        <v>0.58699999999999997</v>
      </c>
      <c r="F26" s="17">
        <v>0.02</v>
      </c>
      <c r="G26" s="17">
        <v>2.8969999999999998</v>
      </c>
      <c r="H26" s="17">
        <v>6.45</v>
      </c>
      <c r="I26" s="17">
        <v>1</v>
      </c>
      <c r="J26" s="17">
        <v>0</v>
      </c>
      <c r="K26" s="17">
        <f t="shared" si="1"/>
        <v>127.26</v>
      </c>
      <c r="L26">
        <f>SUM(N26:R26)</f>
        <v>130</v>
      </c>
      <c r="M26">
        <v>1</v>
      </c>
      <c r="N26" s="19">
        <v>20</v>
      </c>
      <c r="O26" s="19">
        <v>20</v>
      </c>
      <c r="P26" s="19">
        <v>20</v>
      </c>
      <c r="Q26" s="19">
        <v>30</v>
      </c>
      <c r="R26" s="19">
        <v>40</v>
      </c>
      <c r="T26">
        <v>2</v>
      </c>
      <c r="U26">
        <v>-5</v>
      </c>
      <c r="V26">
        <v>0.3</v>
      </c>
      <c r="W26" s="17" t="s">
        <v>54</v>
      </c>
      <c r="X26">
        <f>AVERAGE(-9.765, -11.571)</f>
        <v>-10.667999999999999</v>
      </c>
      <c r="Y26">
        <f>AVERAGE(0.252,0.325)</f>
        <v>0.28849999999999998</v>
      </c>
      <c r="Z26" s="4" t="s">
        <v>261</v>
      </c>
      <c r="AA26">
        <f>AVERAGE(38.8, 35.6)</f>
        <v>37.200000000000003</v>
      </c>
      <c r="AB26" t="s">
        <v>259</v>
      </c>
      <c r="AD26" t="s">
        <v>260</v>
      </c>
    </row>
    <row r="27" spans="1:30">
      <c r="A27" s="15" t="s">
        <v>37</v>
      </c>
      <c r="B27" s="15">
        <v>0.35199999999999998</v>
      </c>
      <c r="C27" s="15">
        <v>53</v>
      </c>
      <c r="D27" s="15">
        <v>49.99</v>
      </c>
      <c r="E27" s="15">
        <v>0.58699999999999997</v>
      </c>
      <c r="F27" s="15">
        <v>5.0000000000000001E-3</v>
      </c>
      <c r="G27" s="15">
        <v>3.141</v>
      </c>
      <c r="H27" s="15">
        <v>24.51</v>
      </c>
      <c r="I27" s="15">
        <v>1</v>
      </c>
      <c r="J27" s="15" t="s">
        <v>74</v>
      </c>
      <c r="K27" s="15">
        <f t="shared" ref="K27" si="3">C27*1.01</f>
        <v>53.53</v>
      </c>
      <c r="L27" t="s">
        <v>253</v>
      </c>
      <c r="AB27" t="s">
        <v>257</v>
      </c>
    </row>
    <row r="28" spans="1:30">
      <c r="B28" s="40" t="s">
        <v>283</v>
      </c>
      <c r="C28" s="40"/>
      <c r="D28" s="40"/>
      <c r="E28" s="40"/>
      <c r="F28" s="40"/>
      <c r="G28" s="40"/>
      <c r="H28" s="40"/>
      <c r="O28" t="s">
        <v>83</v>
      </c>
      <c r="X28" s="20" t="s">
        <v>127</v>
      </c>
      <c r="Y28" s="20"/>
      <c r="Z28" s="20"/>
      <c r="AB28" t="s">
        <v>258</v>
      </c>
    </row>
    <row r="29" spans="1:30">
      <c r="O29" t="s">
        <v>77</v>
      </c>
      <c r="AB29" t="s">
        <v>262</v>
      </c>
    </row>
    <row r="30" spans="1:30">
      <c r="A30" t="s">
        <v>1</v>
      </c>
      <c r="B30" t="s">
        <v>71</v>
      </c>
      <c r="O30" t="s">
        <v>78</v>
      </c>
      <c r="P30" t="s">
        <v>79</v>
      </c>
      <c r="Q30" t="s">
        <v>80</v>
      </c>
      <c r="R30" t="s">
        <v>81</v>
      </c>
      <c r="S30" t="s">
        <v>82</v>
      </c>
    </row>
    <row r="31" spans="1:30">
      <c r="A31" t="s">
        <v>72</v>
      </c>
      <c r="B31" t="s">
        <v>35</v>
      </c>
      <c r="C31" t="s">
        <v>36</v>
      </c>
      <c r="D31" t="s">
        <v>38</v>
      </c>
      <c r="E31" t="s">
        <v>40</v>
      </c>
      <c r="F31" t="s">
        <v>41</v>
      </c>
      <c r="G31" t="s">
        <v>47</v>
      </c>
      <c r="H31" t="s">
        <v>45</v>
      </c>
      <c r="I31" t="s">
        <v>51</v>
      </c>
      <c r="J31" s="17" t="s">
        <v>39</v>
      </c>
      <c r="K31" s="17" t="s">
        <v>54</v>
      </c>
      <c r="N31" t="s">
        <v>35</v>
      </c>
      <c r="O31">
        <f>SUM(B3:C3)</f>
        <v>1.4454427299999999</v>
      </c>
      <c r="P31">
        <f>SUM(D3:E3)</f>
        <v>1.30524562</v>
      </c>
      <c r="Q31">
        <f>SUM(F3:G3)</f>
        <v>0.96704090999999992</v>
      </c>
      <c r="R31">
        <f>SUM(H3:I3)</f>
        <v>0.61244114999999999</v>
      </c>
      <c r="S31">
        <f>SUM(J3:L3)</f>
        <v>0.26904904299999999</v>
      </c>
    </row>
    <row r="32" spans="1:30">
      <c r="A32" t="s">
        <v>35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17">
        <v>0</v>
      </c>
      <c r="K32" s="17">
        <v>1</v>
      </c>
      <c r="N32" t="s">
        <v>36</v>
      </c>
      <c r="O32">
        <f>SUM(B4:C4)</f>
        <v>3.8361598999999997</v>
      </c>
      <c r="P32">
        <f>SUM(D4:E4)</f>
        <v>4.3137632999999997</v>
      </c>
      <c r="Q32">
        <f>SUM(F4:G4)</f>
        <v>3.8824098999999999</v>
      </c>
      <c r="R32">
        <f>SUM(H4:I4)</f>
        <v>3.3584665999999999</v>
      </c>
      <c r="S32">
        <f>SUM(J4:M4)</f>
        <v>3.6807094299999998</v>
      </c>
    </row>
    <row r="33" spans="1:19">
      <c r="A33" t="s">
        <v>36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17">
        <v>0</v>
      </c>
      <c r="K33" s="17">
        <v>0</v>
      </c>
      <c r="N33" t="s">
        <v>38</v>
      </c>
      <c r="O33">
        <f>B7/2</f>
        <v>40.348649500000001</v>
      </c>
      <c r="P33">
        <f>B7/2</f>
        <v>40.348649500000001</v>
      </c>
      <c r="Q33" s="40">
        <f>C7/2</f>
        <v>42.926629499999997</v>
      </c>
      <c r="R33" s="40">
        <f>C7/2</f>
        <v>42.926629499999997</v>
      </c>
      <c r="S33" s="40">
        <f>D7+E7</f>
        <v>89.423588999999993</v>
      </c>
    </row>
    <row r="34" spans="1:19">
      <c r="A34" t="s">
        <v>38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 s="17">
        <v>1</v>
      </c>
      <c r="K34" s="17">
        <v>1</v>
      </c>
      <c r="N34" t="s">
        <v>40</v>
      </c>
      <c r="O34">
        <f>B8+C8</f>
        <v>2.4697873000000001</v>
      </c>
      <c r="P34">
        <f>D8+E8</f>
        <v>2.1255775200000002</v>
      </c>
      <c r="Q34">
        <f>SUM(F8:G8)</f>
        <v>1.4037707799999999</v>
      </c>
      <c r="R34">
        <f>SUM(H8:K8)</f>
        <v>1.65754614</v>
      </c>
      <c r="S34">
        <f>SUM(L8:P8)</f>
        <v>0.5271965193999999</v>
      </c>
    </row>
    <row r="35" spans="1:19">
      <c r="A35" t="s">
        <v>40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 s="17">
        <v>0</v>
      </c>
      <c r="K35" s="17">
        <v>1</v>
      </c>
      <c r="N35" t="s">
        <v>41</v>
      </c>
      <c r="O35">
        <f t="shared" ref="O35:R39" si="4">B9</f>
        <v>4.2530649</v>
      </c>
      <c r="P35">
        <f t="shared" si="4"/>
        <v>10.51529</v>
      </c>
      <c r="Q35">
        <f>SUM(D9:E9)</f>
        <v>19.5903809</v>
      </c>
      <c r="R35">
        <f>SUM(F9:G9)</f>
        <v>19.302706700000002</v>
      </c>
      <c r="S35">
        <f>SUM(H9:I9)</f>
        <v>23.812587999999998</v>
      </c>
    </row>
    <row r="36" spans="1:19">
      <c r="A36" t="s">
        <v>41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 s="17">
        <v>0</v>
      </c>
      <c r="K36" s="17">
        <v>1</v>
      </c>
      <c r="N36" t="s">
        <v>47</v>
      </c>
      <c r="O36">
        <f t="shared" si="4"/>
        <v>3.9070122999999999</v>
      </c>
      <c r="P36">
        <f t="shared" si="4"/>
        <v>6.6463913000000003</v>
      </c>
      <c r="Q36">
        <f t="shared" si="4"/>
        <v>7.4657787000000004</v>
      </c>
      <c r="R36">
        <f t="shared" si="4"/>
        <v>8.9445013000000007</v>
      </c>
      <c r="S36">
        <f>SUM(F10:G10)</f>
        <v>22.156679</v>
      </c>
    </row>
    <row r="37" spans="1:19">
      <c r="A37" t="s">
        <v>47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s="17">
        <v>0</v>
      </c>
      <c r="K37" s="17">
        <v>1</v>
      </c>
      <c r="N37" t="s">
        <v>45</v>
      </c>
      <c r="O37">
        <f t="shared" si="4"/>
        <v>1.9002648</v>
      </c>
      <c r="P37">
        <f t="shared" si="4"/>
        <v>2.8288026999999998</v>
      </c>
      <c r="Q37">
        <f t="shared" si="4"/>
        <v>3.1164227000000002</v>
      </c>
      <c r="R37">
        <f t="shared" si="4"/>
        <v>3.7002457</v>
      </c>
      <c r="S37">
        <f>F11</f>
        <v>5.3006770000000003</v>
      </c>
    </row>
    <row r="38" spans="1:19">
      <c r="A38" t="s">
        <v>45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17">
        <v>0</v>
      </c>
      <c r="K38" s="17">
        <v>1</v>
      </c>
      <c r="N38" t="s">
        <v>51</v>
      </c>
      <c r="O38">
        <f t="shared" si="4"/>
        <v>5.678337</v>
      </c>
      <c r="P38">
        <f t="shared" si="4"/>
        <v>7.2383546000000001</v>
      </c>
      <c r="Q38">
        <f t="shared" si="4"/>
        <v>6.5280455999999996</v>
      </c>
      <c r="R38">
        <f t="shared" si="4"/>
        <v>5.8381125999999997</v>
      </c>
      <c r="S38">
        <f>F12</f>
        <v>5.2898120999999998</v>
      </c>
    </row>
    <row r="39" spans="1:19">
      <c r="A39" t="s">
        <v>51</v>
      </c>
      <c r="B39">
        <v>1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 s="17">
        <v>1</v>
      </c>
      <c r="K39" s="17">
        <v>1</v>
      </c>
      <c r="N39" s="17" t="s">
        <v>39</v>
      </c>
      <c r="O39" s="17">
        <f t="shared" si="4"/>
        <v>4.4434731999999997</v>
      </c>
      <c r="P39" s="17">
        <f t="shared" ref="P39" si="5">C13</f>
        <v>5.0468111000000002</v>
      </c>
      <c r="Q39" s="17">
        <f t="shared" ref="Q39" si="6">D13</f>
        <v>3.6543024000000002</v>
      </c>
      <c r="R39" s="41">
        <f>E13</f>
        <v>2.5206962000000002</v>
      </c>
      <c r="S39" s="41">
        <f>SUM(F13:H13)</f>
        <v>3.315531</v>
      </c>
    </row>
    <row r="40" spans="1:19">
      <c r="A40" s="17" t="s">
        <v>39</v>
      </c>
      <c r="B40" s="17">
        <v>1</v>
      </c>
      <c r="C40" s="17">
        <v>1</v>
      </c>
      <c r="D40" s="17">
        <v>0</v>
      </c>
      <c r="E40" s="17">
        <v>1</v>
      </c>
      <c r="F40" s="17">
        <v>1</v>
      </c>
      <c r="G40" s="17">
        <v>0</v>
      </c>
      <c r="H40" s="17">
        <v>0</v>
      </c>
      <c r="I40" s="17">
        <v>0</v>
      </c>
      <c r="J40" s="17">
        <v>1</v>
      </c>
      <c r="K40" s="17">
        <v>1</v>
      </c>
      <c r="N40" s="17" t="s">
        <v>54</v>
      </c>
      <c r="O40" s="17">
        <f>SUM(B14:C14)</f>
        <v>0.34628020999999998</v>
      </c>
      <c r="P40" s="17">
        <f>SUM(D14:E14)</f>
        <v>0.35235300000000003</v>
      </c>
      <c r="Q40" s="17">
        <f>SUM(F14:G14)</f>
        <v>0.29119757999999996</v>
      </c>
      <c r="R40" s="17">
        <f>SUM(H14:J14)</f>
        <v>0.30855818899999998</v>
      </c>
      <c r="S40" s="17">
        <f>SUM(K14:N14)</f>
        <v>0.13435899790000003</v>
      </c>
    </row>
    <row r="41" spans="1:19">
      <c r="A41" s="17" t="s">
        <v>54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1</v>
      </c>
    </row>
    <row r="42" spans="1:19">
      <c r="N42" t="s">
        <v>84</v>
      </c>
      <c r="O42">
        <v>3046527</v>
      </c>
      <c r="P42" t="s">
        <v>85</v>
      </c>
    </row>
    <row r="43" spans="1:19">
      <c r="B43" t="s">
        <v>100</v>
      </c>
    </row>
    <row r="44" spans="1:19">
      <c r="A44" t="s">
        <v>90</v>
      </c>
      <c r="B44" t="s">
        <v>97</v>
      </c>
      <c r="C44" t="s">
        <v>98</v>
      </c>
      <c r="D44" t="s">
        <v>99</v>
      </c>
      <c r="N44" t="s">
        <v>86</v>
      </c>
      <c r="O44" t="s">
        <v>78</v>
      </c>
      <c r="P44" t="s">
        <v>79</v>
      </c>
      <c r="Q44" t="s">
        <v>80</v>
      </c>
      <c r="R44" t="s">
        <v>81</v>
      </c>
      <c r="S44" t="s">
        <v>82</v>
      </c>
    </row>
    <row r="45" spans="1:19">
      <c r="A45" t="s">
        <v>35</v>
      </c>
      <c r="B45">
        <v>0.5</v>
      </c>
      <c r="C45">
        <v>0.5</v>
      </c>
      <c r="D45">
        <v>0</v>
      </c>
      <c r="E45">
        <v>0</v>
      </c>
      <c r="F45">
        <v>0</v>
      </c>
      <c r="G45">
        <v>1</v>
      </c>
      <c r="H45">
        <v>3</v>
      </c>
      <c r="I45" t="s">
        <v>264</v>
      </c>
      <c r="N45" t="s">
        <v>35</v>
      </c>
      <c r="O45">
        <f t="shared" ref="O45:S54" si="7">O31*$O$42</f>
        <v>4403580.3038987098</v>
      </c>
      <c r="P45">
        <f t="shared" si="7"/>
        <v>3976466.0229617399</v>
      </c>
      <c r="Q45">
        <f t="shared" si="7"/>
        <v>2946116.2424195698</v>
      </c>
      <c r="R45">
        <f t="shared" si="7"/>
        <v>1865818.49938605</v>
      </c>
      <c r="S45">
        <f t="shared" si="7"/>
        <v>819665.17382366094</v>
      </c>
    </row>
    <row r="46" spans="1:19">
      <c r="A46" t="s">
        <v>36</v>
      </c>
      <c r="B46">
        <v>12</v>
      </c>
      <c r="C46">
        <v>5.0000000000000001E-3</v>
      </c>
      <c r="D46">
        <v>0</v>
      </c>
      <c r="E46">
        <v>0</v>
      </c>
      <c r="F46">
        <v>0</v>
      </c>
      <c r="G46">
        <v>2</v>
      </c>
      <c r="H46">
        <v>3</v>
      </c>
      <c r="I46" t="s">
        <v>102</v>
      </c>
      <c r="N46" t="s">
        <v>36</v>
      </c>
      <c r="O46">
        <f t="shared" si="7"/>
        <v>11686964.711667299</v>
      </c>
      <c r="P46">
        <f t="shared" si="7"/>
        <v>13141996.3650591</v>
      </c>
      <c r="Q46">
        <f t="shared" si="7"/>
        <v>11827866.5854173</v>
      </c>
      <c r="R46">
        <f t="shared" si="7"/>
        <v>10231659.175498199</v>
      </c>
      <c r="S46">
        <f t="shared" si="7"/>
        <v>11213380.65764961</v>
      </c>
    </row>
    <row r="47" spans="1:19">
      <c r="A47" t="s">
        <v>38</v>
      </c>
      <c r="B47">
        <v>3.16E-3</v>
      </c>
      <c r="C47">
        <v>5</v>
      </c>
      <c r="D47">
        <v>0</v>
      </c>
      <c r="E47">
        <v>0</v>
      </c>
      <c r="F47">
        <v>0</v>
      </c>
      <c r="G47">
        <v>1</v>
      </c>
      <c r="H47">
        <v>1</v>
      </c>
      <c r="I47" t="s">
        <v>103</v>
      </c>
      <c r="N47" t="s">
        <v>38</v>
      </c>
      <c r="O47">
        <f t="shared" si="7"/>
        <v>122923250.1152865</v>
      </c>
      <c r="P47">
        <f t="shared" si="7"/>
        <v>122923250.1152865</v>
      </c>
      <c r="Q47">
        <f t="shared" si="7"/>
        <v>130777135.7907465</v>
      </c>
      <c r="R47">
        <f t="shared" si="7"/>
        <v>130777135.7907465</v>
      </c>
      <c r="S47">
        <f t="shared" si="7"/>
        <v>272431378.32540298</v>
      </c>
    </row>
    <row r="48" spans="1:19">
      <c r="A48" t="s">
        <v>40</v>
      </c>
      <c r="B48">
        <v>0.43325999999999998</v>
      </c>
      <c r="C48">
        <v>4.0270000000000001</v>
      </c>
      <c r="D48">
        <v>0</v>
      </c>
      <c r="E48">
        <v>0.5</v>
      </c>
      <c r="F48">
        <v>1</v>
      </c>
      <c r="G48">
        <v>1.2</v>
      </c>
      <c r="H48">
        <v>1.4</v>
      </c>
      <c r="I48" t="s">
        <v>104</v>
      </c>
      <c r="N48" t="s">
        <v>40</v>
      </c>
      <c r="O48">
        <f t="shared" si="7"/>
        <v>7524273.6937071001</v>
      </c>
      <c r="P48">
        <f t="shared" si="7"/>
        <v>6475629.3052730411</v>
      </c>
      <c r="Q48">
        <f t="shared" si="7"/>
        <v>4276625.5830810601</v>
      </c>
      <c r="R48">
        <f t="shared" si="7"/>
        <v>5049759.0692557804</v>
      </c>
      <c r="S48">
        <f t="shared" si="7"/>
        <v>1606118.4306581235</v>
      </c>
    </row>
    <row r="49" spans="1:19">
      <c r="A49" t="s">
        <v>41</v>
      </c>
      <c r="B49">
        <v>0.14030000000000001</v>
      </c>
      <c r="C49">
        <v>3.5870000000000002</v>
      </c>
      <c r="D49">
        <v>0</v>
      </c>
      <c r="E49">
        <v>0.5</v>
      </c>
      <c r="F49">
        <v>1</v>
      </c>
      <c r="G49">
        <v>1.2</v>
      </c>
      <c r="H49">
        <v>1.4</v>
      </c>
      <c r="I49" t="s">
        <v>104</v>
      </c>
      <c r="N49" t="s">
        <v>41</v>
      </c>
      <c r="O49">
        <f t="shared" si="7"/>
        <v>12957077.0506023</v>
      </c>
      <c r="P49">
        <f t="shared" si="7"/>
        <v>32035114.897830002</v>
      </c>
      <c r="Q49">
        <f t="shared" si="7"/>
        <v>59682624.352134302</v>
      </c>
      <c r="R49">
        <f t="shared" si="7"/>
        <v>58806217.134630904</v>
      </c>
      <c r="S49">
        <f t="shared" si="7"/>
        <v>72545692.281875998</v>
      </c>
    </row>
    <row r="50" spans="1:19">
      <c r="A50" t="s">
        <v>47</v>
      </c>
      <c r="B50">
        <f>EXP(-7.633)</f>
        <v>4.8420605905539479E-4</v>
      </c>
      <c r="C50" s="3">
        <v>5.7009999999999996</v>
      </c>
      <c r="D50">
        <v>0</v>
      </c>
      <c r="E50">
        <v>1</v>
      </c>
      <c r="F50">
        <v>1</v>
      </c>
      <c r="G50">
        <v>1.2</v>
      </c>
      <c r="H50">
        <v>1.4</v>
      </c>
      <c r="I50" t="s">
        <v>105</v>
      </c>
      <c r="N50" t="s">
        <v>47</v>
      </c>
      <c r="O50">
        <f t="shared" si="7"/>
        <v>11902818.461282101</v>
      </c>
      <c r="P50">
        <f t="shared" si="7"/>
        <v>20248410.548015103</v>
      </c>
      <c r="Q50">
        <f t="shared" si="7"/>
        <v>22744696.3855749</v>
      </c>
      <c r="R50">
        <f t="shared" si="7"/>
        <v>27249664.711985104</v>
      </c>
      <c r="S50">
        <f t="shared" si="7"/>
        <v>67500920.803833008</v>
      </c>
    </row>
    <row r="51" spans="1:19">
      <c r="A51" t="s">
        <v>45</v>
      </c>
      <c r="B51">
        <f>EXP(-7.633)</f>
        <v>4.8420605905539479E-4</v>
      </c>
      <c r="C51" s="3">
        <v>5.7009999999999996</v>
      </c>
      <c r="D51">
        <v>0</v>
      </c>
      <c r="E51">
        <v>1</v>
      </c>
      <c r="F51">
        <v>1</v>
      </c>
      <c r="G51">
        <v>1.5</v>
      </c>
      <c r="H51">
        <v>3</v>
      </c>
      <c r="I51" t="s">
        <v>106</v>
      </c>
      <c r="N51" t="s">
        <v>45</v>
      </c>
      <c r="O51">
        <f t="shared" si="7"/>
        <v>5789208.0203496004</v>
      </c>
      <c r="P51">
        <f t="shared" si="7"/>
        <v>8618023.8032229003</v>
      </c>
      <c r="Q51">
        <f t="shared" si="7"/>
        <v>9494265.8989629</v>
      </c>
      <c r="R51">
        <f t="shared" si="7"/>
        <v>11272898.4316839</v>
      </c>
      <c r="S51">
        <f t="shared" si="7"/>
        <v>16148655.598779</v>
      </c>
    </row>
    <row r="52" spans="1:19">
      <c r="A52" t="s">
        <v>51</v>
      </c>
      <c r="B52">
        <v>1.0980000000000001</v>
      </c>
      <c r="C52" s="3">
        <v>3.5</v>
      </c>
      <c r="D52">
        <v>0</v>
      </c>
      <c r="E52">
        <v>1</v>
      </c>
      <c r="F52">
        <v>1</v>
      </c>
      <c r="G52">
        <v>1</v>
      </c>
      <c r="H52">
        <v>1.8</v>
      </c>
      <c r="I52" t="s">
        <v>107</v>
      </c>
      <c r="N52" t="s">
        <v>51</v>
      </c>
      <c r="O52">
        <f t="shared" si="7"/>
        <v>17299206.985599</v>
      </c>
      <c r="P52">
        <f t="shared" si="7"/>
        <v>22051842.724474199</v>
      </c>
      <c r="Q52">
        <f t="shared" si="7"/>
        <v>19887867.177631199</v>
      </c>
      <c r="R52">
        <f t="shared" si="7"/>
        <v>17785967.664940201</v>
      </c>
      <c r="S52">
        <f t="shared" si="7"/>
        <v>16115555.387576699</v>
      </c>
    </row>
    <row r="53" spans="1:19">
      <c r="A53" s="17" t="s">
        <v>39</v>
      </c>
      <c r="B53" s="17">
        <v>0.5</v>
      </c>
      <c r="C53" s="17">
        <v>3.5</v>
      </c>
      <c r="D53" s="17">
        <v>0</v>
      </c>
      <c r="E53" s="17">
        <v>0</v>
      </c>
      <c r="F53" s="17">
        <v>1</v>
      </c>
      <c r="G53" s="17">
        <v>1.5</v>
      </c>
      <c r="H53" s="17">
        <v>1.5</v>
      </c>
      <c r="I53" t="s">
        <v>266</v>
      </c>
      <c r="N53" s="17" t="s">
        <v>39</v>
      </c>
      <c r="O53" s="17">
        <f t="shared" si="7"/>
        <v>13537161.077576399</v>
      </c>
      <c r="P53" s="17">
        <f t="shared" si="7"/>
        <v>15375246.2800497</v>
      </c>
      <c r="Q53" s="17">
        <f t="shared" si="7"/>
        <v>11132930.927764801</v>
      </c>
      <c r="R53" s="17">
        <f t="shared" si="7"/>
        <v>7679369.0320974002</v>
      </c>
      <c r="S53" s="17">
        <f t="shared" si="7"/>
        <v>10100854.710836999</v>
      </c>
    </row>
    <row r="54" spans="1:19">
      <c r="A54" s="17" t="s">
        <v>54</v>
      </c>
      <c r="B54" s="17">
        <v>0.3</v>
      </c>
      <c r="C54" s="17">
        <v>3.3</v>
      </c>
      <c r="D54" s="17">
        <v>0</v>
      </c>
      <c r="E54" s="17">
        <v>0.5</v>
      </c>
      <c r="F54" s="17">
        <v>1</v>
      </c>
      <c r="G54" s="17">
        <v>1.2</v>
      </c>
      <c r="H54" s="17">
        <v>1.4</v>
      </c>
      <c r="I54" s="21" t="s">
        <v>263</v>
      </c>
      <c r="N54" s="17" t="s">
        <v>54</v>
      </c>
      <c r="O54" s="17">
        <f t="shared" si="7"/>
        <v>1054952.0093306699</v>
      </c>
      <c r="P54" s="17">
        <f t="shared" si="7"/>
        <v>1073452.9280310001</v>
      </c>
      <c r="Q54" s="17">
        <f t="shared" si="7"/>
        <v>887141.2898046599</v>
      </c>
      <c r="R54" s="17">
        <f t="shared" si="7"/>
        <v>940030.85385960294</v>
      </c>
      <c r="S54" s="17">
        <f t="shared" si="7"/>
        <v>409328.31479529338</v>
      </c>
    </row>
    <row r="56" spans="1:19">
      <c r="B56" t="s">
        <v>112</v>
      </c>
      <c r="N56" t="s">
        <v>88</v>
      </c>
    </row>
    <row r="57" spans="1:19">
      <c r="A57" t="s">
        <v>111</v>
      </c>
      <c r="B57" t="s">
        <v>113</v>
      </c>
      <c r="C57" t="s">
        <v>114</v>
      </c>
      <c r="D57" t="s">
        <v>115</v>
      </c>
      <c r="E57" t="s">
        <v>212</v>
      </c>
      <c r="F57" t="s">
        <v>213</v>
      </c>
      <c r="G57" t="s">
        <v>220</v>
      </c>
      <c r="H57" t="s">
        <v>221</v>
      </c>
      <c r="N57" t="s">
        <v>35</v>
      </c>
      <c r="O57">
        <f t="shared" ref="O57:S66" si="8">ROUND(O45,0)</f>
        <v>4403580</v>
      </c>
      <c r="P57">
        <f t="shared" si="8"/>
        <v>3976466</v>
      </c>
      <c r="Q57">
        <f t="shared" si="8"/>
        <v>2946116</v>
      </c>
      <c r="R57">
        <f t="shared" si="8"/>
        <v>1865818</v>
      </c>
      <c r="S57">
        <f t="shared" si="8"/>
        <v>819665</v>
      </c>
    </row>
    <row r="58" spans="1:19">
      <c r="A58" t="s">
        <v>35</v>
      </c>
      <c r="B58">
        <v>30</v>
      </c>
      <c r="C58">
        <v>0.8</v>
      </c>
      <c r="D58">
        <f>C58/G58</f>
        <v>2.666666666666667E-3</v>
      </c>
      <c r="E58">
        <f t="shared" ref="E58:E67" si="9">EXP($J$65-ABS($J$66*LOG(C17)))</f>
        <v>604.31755063446644</v>
      </c>
      <c r="F58">
        <f t="shared" ref="F58:F67" si="10">EXP($L$65-$L$66*LOG(G58))</f>
        <v>0.11102478681309097</v>
      </c>
      <c r="G58">
        <v>300</v>
      </c>
      <c r="H58">
        <f>B58*(G58^C58)*EXP(-D58*G58)</f>
        <v>1292.3575161975655</v>
      </c>
      <c r="I58" t="s">
        <v>125</v>
      </c>
      <c r="N58" t="s">
        <v>36</v>
      </c>
      <c r="O58">
        <f t="shared" si="8"/>
        <v>11686965</v>
      </c>
      <c r="P58">
        <f t="shared" si="8"/>
        <v>13141996</v>
      </c>
      <c r="Q58">
        <f t="shared" si="8"/>
        <v>11827867</v>
      </c>
      <c r="R58">
        <f t="shared" si="8"/>
        <v>10231659</v>
      </c>
      <c r="S58">
        <f t="shared" si="8"/>
        <v>11213381</v>
      </c>
    </row>
    <row r="59" spans="1:19">
      <c r="A59" t="s">
        <v>36</v>
      </c>
      <c r="B59">
        <v>10</v>
      </c>
      <c r="C59">
        <v>0.7</v>
      </c>
      <c r="D59">
        <f t="shared" ref="D59:D67" si="11">C59/G59</f>
        <v>2.3333333333333333E-4</v>
      </c>
      <c r="E59">
        <f t="shared" si="9"/>
        <v>529.72478025096473</v>
      </c>
      <c r="F59">
        <f t="shared" si="10"/>
        <v>4.3006595214160809E-2</v>
      </c>
      <c r="G59">
        <v>3000</v>
      </c>
      <c r="H59">
        <f t="shared" ref="H59:H67" si="12">B59*(G59^C59)*EXP(-D59*G59)</f>
        <v>1348.8968515005511</v>
      </c>
      <c r="I59" t="s">
        <v>126</v>
      </c>
      <c r="N59" t="s">
        <v>38</v>
      </c>
      <c r="O59">
        <f t="shared" si="8"/>
        <v>122923250</v>
      </c>
      <c r="P59">
        <f t="shared" si="8"/>
        <v>122923250</v>
      </c>
      <c r="Q59">
        <f t="shared" si="8"/>
        <v>130777136</v>
      </c>
      <c r="R59">
        <f t="shared" si="8"/>
        <v>130777136</v>
      </c>
      <c r="S59">
        <f t="shared" si="8"/>
        <v>272431378</v>
      </c>
    </row>
    <row r="60" spans="1:19">
      <c r="A60" t="s">
        <v>38</v>
      </c>
      <c r="B60">
        <v>0.5</v>
      </c>
      <c r="C60">
        <v>0.5</v>
      </c>
      <c r="D60">
        <f t="shared" si="11"/>
        <v>5.0000000000000002E-11</v>
      </c>
      <c r="E60">
        <f t="shared" si="9"/>
        <v>1723.3353002435774</v>
      </c>
      <c r="F60">
        <f t="shared" si="10"/>
        <v>8.8483010157636125E-5</v>
      </c>
      <c r="G60" s="1">
        <v>10000000000</v>
      </c>
      <c r="H60">
        <f t="shared" si="12"/>
        <v>30326.532985631671</v>
      </c>
      <c r="I60" t="s">
        <v>124</v>
      </c>
      <c r="N60" t="s">
        <v>40</v>
      </c>
      <c r="O60">
        <f t="shared" si="8"/>
        <v>7524274</v>
      </c>
      <c r="P60">
        <f t="shared" si="8"/>
        <v>6475629</v>
      </c>
      <c r="Q60">
        <f t="shared" si="8"/>
        <v>4276626</v>
      </c>
      <c r="R60">
        <f t="shared" si="8"/>
        <v>5049759</v>
      </c>
      <c r="S60">
        <f t="shared" si="8"/>
        <v>1606118</v>
      </c>
    </row>
    <row r="61" spans="1:19">
      <c r="A61" t="s">
        <v>40</v>
      </c>
      <c r="B61" s="1">
        <v>1E-3</v>
      </c>
      <c r="C61">
        <v>0.5</v>
      </c>
      <c r="D61">
        <f t="shared" si="11"/>
        <v>6.2499999999999999E-14</v>
      </c>
      <c r="E61">
        <f t="shared" si="9"/>
        <v>408.60077455877484</v>
      </c>
      <c r="F61">
        <f t="shared" si="10"/>
        <v>5.6379471248805662E-6</v>
      </c>
      <c r="G61" s="1">
        <v>8000000000000</v>
      </c>
      <c r="H61">
        <f t="shared" si="12"/>
        <v>1715.5277699214137</v>
      </c>
      <c r="I61" t="s">
        <v>191</v>
      </c>
      <c r="N61" t="s">
        <v>41</v>
      </c>
      <c r="O61">
        <f t="shared" si="8"/>
        <v>12957077</v>
      </c>
      <c r="P61">
        <f t="shared" si="8"/>
        <v>32035115</v>
      </c>
      <c r="Q61">
        <f t="shared" si="8"/>
        <v>59682624</v>
      </c>
      <c r="R61">
        <f t="shared" si="8"/>
        <v>58806217</v>
      </c>
      <c r="S61">
        <f t="shared" si="8"/>
        <v>72545692</v>
      </c>
    </row>
    <row r="62" spans="1:19">
      <c r="A62" t="s">
        <v>41</v>
      </c>
      <c r="B62">
        <v>0.02</v>
      </c>
      <c r="C62">
        <v>0.5</v>
      </c>
      <c r="D62">
        <f t="shared" si="11"/>
        <v>5.5555555555555555E-12</v>
      </c>
      <c r="E62">
        <f t="shared" si="9"/>
        <v>818.2815581785153</v>
      </c>
      <c r="F62">
        <f t="shared" si="10"/>
        <v>3.5794955011578916E-5</v>
      </c>
      <c r="G62" s="1">
        <v>90000000000</v>
      </c>
      <c r="H62">
        <f t="shared" si="12"/>
        <v>3639.1839582758007</v>
      </c>
      <c r="I62" t="s">
        <v>123</v>
      </c>
      <c r="N62" t="s">
        <v>47</v>
      </c>
      <c r="O62">
        <f t="shared" si="8"/>
        <v>11902818</v>
      </c>
      <c r="P62">
        <f t="shared" si="8"/>
        <v>20248411</v>
      </c>
      <c r="Q62">
        <f t="shared" si="8"/>
        <v>22744696</v>
      </c>
      <c r="R62">
        <f t="shared" si="8"/>
        <v>27249665</v>
      </c>
      <c r="S62">
        <f t="shared" si="8"/>
        <v>67500921</v>
      </c>
    </row>
    <row r="63" spans="1:19">
      <c r="A63" t="s">
        <v>47</v>
      </c>
      <c r="B63">
        <v>5.0000000000000001E-3</v>
      </c>
      <c r="C63">
        <v>0.5</v>
      </c>
      <c r="D63">
        <f t="shared" si="11"/>
        <v>2.9411764705882354E-13</v>
      </c>
      <c r="E63">
        <f t="shared" si="9"/>
        <v>1207.0885133338645</v>
      </c>
      <c r="F63">
        <f t="shared" si="10"/>
        <v>1.0670178570511167E-5</v>
      </c>
      <c r="G63" s="1">
        <v>1700000000000</v>
      </c>
      <c r="H63">
        <f t="shared" si="12"/>
        <v>3954.0961356277489</v>
      </c>
      <c r="N63" t="s">
        <v>45</v>
      </c>
      <c r="O63">
        <f t="shared" si="8"/>
        <v>5789208</v>
      </c>
      <c r="P63">
        <f t="shared" si="8"/>
        <v>8618024</v>
      </c>
      <c r="Q63">
        <f t="shared" si="8"/>
        <v>9494266</v>
      </c>
      <c r="R63">
        <f t="shared" si="8"/>
        <v>11272898</v>
      </c>
      <c r="S63">
        <f t="shared" si="8"/>
        <v>16148656</v>
      </c>
    </row>
    <row r="64" spans="1:19">
      <c r="A64" t="s">
        <v>45</v>
      </c>
      <c r="B64">
        <v>0.03</v>
      </c>
      <c r="C64">
        <v>0.4</v>
      </c>
      <c r="D64">
        <f t="shared" si="11"/>
        <v>1.1428571428571429E-12</v>
      </c>
      <c r="E64">
        <f t="shared" si="9"/>
        <v>1325.9570909844101</v>
      </c>
      <c r="F64">
        <f t="shared" si="10"/>
        <v>2.0458867860426413E-5</v>
      </c>
      <c r="G64" s="1">
        <v>350000000000</v>
      </c>
      <c r="H64">
        <f t="shared" si="12"/>
        <v>833.74008011996762</v>
      </c>
      <c r="I64" t="s">
        <v>218</v>
      </c>
      <c r="N64" t="s">
        <v>51</v>
      </c>
      <c r="O64">
        <f t="shared" si="8"/>
        <v>17299207</v>
      </c>
      <c r="P64">
        <f t="shared" si="8"/>
        <v>22051843</v>
      </c>
      <c r="Q64">
        <f t="shared" si="8"/>
        <v>19887867</v>
      </c>
      <c r="R64">
        <f t="shared" si="8"/>
        <v>17785968</v>
      </c>
      <c r="S64">
        <f t="shared" si="8"/>
        <v>16115555</v>
      </c>
    </row>
    <row r="65" spans="1:21">
      <c r="A65" t="s">
        <v>51</v>
      </c>
      <c r="B65">
        <v>2.5000000000000001E-2</v>
      </c>
      <c r="C65">
        <v>0.5</v>
      </c>
      <c r="D65">
        <f t="shared" si="11"/>
        <v>1.4285714285714286E-11</v>
      </c>
      <c r="E65">
        <f t="shared" si="9"/>
        <v>1308.7336554764665</v>
      </c>
      <c r="F65">
        <f t="shared" si="10"/>
        <v>5.2816118814565449E-5</v>
      </c>
      <c r="G65" s="1">
        <v>35000000000</v>
      </c>
      <c r="H65">
        <f t="shared" si="12"/>
        <v>2836.7874040233082</v>
      </c>
      <c r="I65" t="s">
        <v>214</v>
      </c>
      <c r="J65">
        <v>11</v>
      </c>
      <c r="K65" t="s">
        <v>216</v>
      </c>
      <c r="L65">
        <v>0.15129999999999999</v>
      </c>
      <c r="N65" s="17" t="s">
        <v>39</v>
      </c>
      <c r="O65" s="17">
        <f t="shared" si="8"/>
        <v>13537161</v>
      </c>
      <c r="P65" s="17">
        <f t="shared" si="8"/>
        <v>15375246</v>
      </c>
      <c r="Q65" s="17">
        <f t="shared" si="8"/>
        <v>11132931</v>
      </c>
      <c r="R65" s="17">
        <f t="shared" si="8"/>
        <v>7679369</v>
      </c>
      <c r="S65" s="17">
        <f t="shared" si="8"/>
        <v>10100855</v>
      </c>
    </row>
    <row r="66" spans="1:21">
      <c r="A66" s="17" t="s">
        <v>39</v>
      </c>
      <c r="B66" s="3">
        <v>0.02</v>
      </c>
      <c r="C66" s="3">
        <v>0.5</v>
      </c>
      <c r="D66" s="3">
        <f t="shared" si="11"/>
        <v>5.5555555555555555E-12</v>
      </c>
      <c r="E66" s="3">
        <f t="shared" si="9"/>
        <v>923.15978498866718</v>
      </c>
      <c r="F66" s="3">
        <f t="shared" si="10"/>
        <v>3.5794955011578916E-5</v>
      </c>
      <c r="G66" s="13">
        <v>90000000000</v>
      </c>
      <c r="H66" s="3">
        <f t="shared" si="12"/>
        <v>3639.1839582758007</v>
      </c>
      <c r="I66" t="s">
        <v>215</v>
      </c>
      <c r="J66">
        <v>-2.298</v>
      </c>
      <c r="K66" t="s">
        <v>217</v>
      </c>
      <c r="L66">
        <v>0.94840000000000002</v>
      </c>
      <c r="N66" s="17" t="s">
        <v>54</v>
      </c>
      <c r="O66" s="17">
        <f t="shared" si="8"/>
        <v>1054952</v>
      </c>
      <c r="P66" s="17">
        <f t="shared" si="8"/>
        <v>1073453</v>
      </c>
      <c r="Q66" s="17">
        <f t="shared" si="8"/>
        <v>887141</v>
      </c>
      <c r="R66" s="17">
        <f t="shared" si="8"/>
        <v>940031</v>
      </c>
      <c r="S66" s="17">
        <f t="shared" si="8"/>
        <v>409328</v>
      </c>
    </row>
    <row r="67" spans="1:21">
      <c r="A67" s="17" t="s">
        <v>54</v>
      </c>
      <c r="B67" s="3">
        <v>1</v>
      </c>
      <c r="C67" s="3">
        <v>0.5</v>
      </c>
      <c r="D67" s="3">
        <f t="shared" si="11"/>
        <v>6.2500000000000001E-4</v>
      </c>
      <c r="E67" s="3">
        <f t="shared" si="9"/>
        <v>479.78998999587543</v>
      </c>
      <c r="F67" s="3">
        <f t="shared" si="10"/>
        <v>7.4125880462059701E-2</v>
      </c>
      <c r="G67" s="13">
        <v>800</v>
      </c>
      <c r="H67" s="3">
        <f t="shared" si="12"/>
        <v>17.155277699214135</v>
      </c>
      <c r="I67" s="3" t="s">
        <v>280</v>
      </c>
      <c r="J67" s="3"/>
      <c r="K67" s="3"/>
      <c r="L67" s="3"/>
    </row>
    <row r="68" spans="1:21">
      <c r="N68" t="s">
        <v>89</v>
      </c>
      <c r="O68">
        <v>4403580</v>
      </c>
      <c r="P68">
        <v>3976466</v>
      </c>
      <c r="Q68">
        <v>2946116</v>
      </c>
      <c r="R68">
        <v>1865818</v>
      </c>
      <c r="S68">
        <v>819665</v>
      </c>
      <c r="U68">
        <f>SUM(O68:S68)</f>
        <v>14011645</v>
      </c>
    </row>
    <row r="69" spans="1:21">
      <c r="B69" t="s">
        <v>128</v>
      </c>
      <c r="O69">
        <v>11686965</v>
      </c>
      <c r="P69">
        <v>13141996</v>
      </c>
      <c r="Q69">
        <v>11827867</v>
      </c>
      <c r="R69">
        <v>10231659</v>
      </c>
      <c r="S69">
        <v>11213381</v>
      </c>
      <c r="U69">
        <f t="shared" ref="U69:U77" si="13">SUM(O69:S69)</f>
        <v>58101868</v>
      </c>
    </row>
    <row r="70" spans="1:21">
      <c r="B70" t="s">
        <v>129</v>
      </c>
      <c r="C70" s="1" t="s">
        <v>130</v>
      </c>
      <c r="D70" s="1"/>
      <c r="E70" s="1" t="s">
        <v>134</v>
      </c>
      <c r="F70" s="1"/>
      <c r="G70" s="1"/>
      <c r="H70" s="1"/>
      <c r="I70" s="1"/>
      <c r="J70" s="1"/>
      <c r="O70">
        <v>122923250</v>
      </c>
      <c r="P70">
        <v>122923250</v>
      </c>
      <c r="Q70">
        <v>130777136</v>
      </c>
      <c r="R70">
        <v>130777136</v>
      </c>
      <c r="S70">
        <v>272431378</v>
      </c>
      <c r="U70">
        <f t="shared" si="13"/>
        <v>779832150</v>
      </c>
    </row>
    <row r="71" spans="1:21">
      <c r="A71" t="s">
        <v>35</v>
      </c>
      <c r="B71">
        <f>EXP(2.423098)</f>
        <v>11.280753009464274</v>
      </c>
      <c r="C71">
        <v>0.68818699999999999</v>
      </c>
      <c r="D71" t="s">
        <v>137</v>
      </c>
      <c r="E71">
        <v>0</v>
      </c>
      <c r="F71" t="s">
        <v>136</v>
      </c>
      <c r="O71">
        <v>7524274</v>
      </c>
      <c r="P71">
        <v>6475629</v>
      </c>
      <c r="Q71">
        <v>4276626</v>
      </c>
      <c r="R71">
        <v>5049759</v>
      </c>
      <c r="S71">
        <v>1606118</v>
      </c>
      <c r="U71">
        <f t="shared" si="13"/>
        <v>24932406</v>
      </c>
    </row>
    <row r="72" spans="1:21">
      <c r="A72" t="s">
        <v>36</v>
      </c>
      <c r="B72">
        <f>EXP(2.93271)</f>
        <v>18.778451206277722</v>
      </c>
      <c r="C72">
        <v>0.59567000000000003</v>
      </c>
      <c r="D72" t="s">
        <v>137</v>
      </c>
      <c r="E72">
        <v>0</v>
      </c>
      <c r="F72" t="s">
        <v>132</v>
      </c>
      <c r="O72">
        <v>12957077</v>
      </c>
      <c r="P72">
        <v>32035115</v>
      </c>
      <c r="Q72">
        <v>59682624</v>
      </c>
      <c r="R72">
        <v>58806217</v>
      </c>
      <c r="S72">
        <v>72545692</v>
      </c>
      <c r="U72">
        <f t="shared" si="13"/>
        <v>236026725</v>
      </c>
    </row>
    <row r="73" spans="1:21">
      <c r="A73" t="s">
        <v>38</v>
      </c>
      <c r="B73" s="22">
        <v>11.652114965449901</v>
      </c>
      <c r="C73" s="22">
        <v>0.45643656148074202</v>
      </c>
      <c r="D73" t="s">
        <v>133</v>
      </c>
      <c r="E73" s="22">
        <v>7878</v>
      </c>
      <c r="F73" t="s">
        <v>131</v>
      </c>
      <c r="O73">
        <v>11902818</v>
      </c>
      <c r="P73">
        <v>20248411</v>
      </c>
      <c r="Q73">
        <v>22744696</v>
      </c>
      <c r="R73">
        <v>27249665</v>
      </c>
      <c r="S73">
        <v>67500921</v>
      </c>
      <c r="U73">
        <f t="shared" si="13"/>
        <v>149646511</v>
      </c>
    </row>
    <row r="74" spans="1:21">
      <c r="A74" t="s">
        <v>40</v>
      </c>
      <c r="B74" s="22">
        <v>22.317308553457899</v>
      </c>
      <c r="C74" s="22">
        <v>0.73485936879756897</v>
      </c>
      <c r="D74" t="s">
        <v>133</v>
      </c>
      <c r="E74" s="22">
        <v>18157</v>
      </c>
      <c r="F74" s="22" t="s">
        <v>270</v>
      </c>
      <c r="G74" s="22"/>
      <c r="H74" s="22"/>
      <c r="I74" s="22"/>
      <c r="J74" s="22"/>
      <c r="K74" s="22"/>
      <c r="L74" s="22"/>
      <c r="M74" s="22"/>
      <c r="O74">
        <v>5789208</v>
      </c>
      <c r="P74">
        <v>8618024</v>
      </c>
      <c r="Q74">
        <v>9494266</v>
      </c>
      <c r="R74">
        <v>11272898</v>
      </c>
      <c r="S74">
        <v>16148656</v>
      </c>
      <c r="U74">
        <f t="shared" si="13"/>
        <v>51323052</v>
      </c>
    </row>
    <row r="75" spans="1:21">
      <c r="A75" t="s">
        <v>41</v>
      </c>
      <c r="B75" s="22">
        <v>23.060325469739201</v>
      </c>
      <c r="C75" s="22">
        <v>0.50207064949592395</v>
      </c>
      <c r="D75" t="s">
        <v>133</v>
      </c>
      <c r="E75" s="22">
        <v>31792</v>
      </c>
      <c r="F75" s="22" t="s">
        <v>287</v>
      </c>
      <c r="O75">
        <v>17299207</v>
      </c>
      <c r="P75">
        <v>22051843</v>
      </c>
      <c r="Q75">
        <v>19887867</v>
      </c>
      <c r="R75">
        <v>17785968</v>
      </c>
      <c r="S75">
        <v>16115555</v>
      </c>
      <c r="U75">
        <f t="shared" si="13"/>
        <v>93140440</v>
      </c>
    </row>
    <row r="76" spans="1:21">
      <c r="A76" t="s">
        <v>47</v>
      </c>
      <c r="B76" s="22">
        <v>16.001051190531602</v>
      </c>
      <c r="C76" s="22">
        <v>0.61889813593981802</v>
      </c>
      <c r="D76" t="s">
        <v>133</v>
      </c>
      <c r="E76" s="22">
        <v>27093</v>
      </c>
      <c r="O76">
        <v>13537161</v>
      </c>
      <c r="P76">
        <v>15375246</v>
      </c>
      <c r="Q76">
        <v>11132931</v>
      </c>
      <c r="R76">
        <v>7679369</v>
      </c>
      <c r="S76">
        <v>10100855</v>
      </c>
      <c r="U76">
        <f t="shared" si="13"/>
        <v>57825562</v>
      </c>
    </row>
    <row r="77" spans="1:21">
      <c r="A77" t="s">
        <v>45</v>
      </c>
      <c r="B77" s="22">
        <v>17.769256477955299</v>
      </c>
      <c r="C77" s="22">
        <v>0.55288634074808396</v>
      </c>
      <c r="D77" t="s">
        <v>133</v>
      </c>
      <c r="E77" s="22">
        <v>7583</v>
      </c>
      <c r="O77">
        <v>1054952</v>
      </c>
      <c r="P77">
        <v>1073453</v>
      </c>
      <c r="Q77">
        <v>887141</v>
      </c>
      <c r="R77">
        <v>940031</v>
      </c>
      <c r="S77">
        <v>409328</v>
      </c>
      <c r="U77">
        <f t="shared" si="13"/>
        <v>4364905</v>
      </c>
    </row>
    <row r="78" spans="1:21">
      <c r="A78" t="s">
        <v>51</v>
      </c>
      <c r="B78" s="22">
        <v>20.482925862477501</v>
      </c>
      <c r="C78" s="22">
        <v>0.26327237981683599</v>
      </c>
      <c r="D78" t="s">
        <v>133</v>
      </c>
      <c r="E78" s="22">
        <v>2366</v>
      </c>
      <c r="N78" t="s">
        <v>110</v>
      </c>
      <c r="U78" t="s">
        <v>219</v>
      </c>
    </row>
    <row r="79" spans="1:21">
      <c r="A79" s="17" t="s">
        <v>39</v>
      </c>
      <c r="B79" s="22">
        <v>13.779932684616099</v>
      </c>
      <c r="C79" s="22">
        <v>0.64862125087797096</v>
      </c>
      <c r="D79" t="s">
        <v>133</v>
      </c>
      <c r="E79" s="22">
        <v>20175</v>
      </c>
      <c r="O79">
        <f t="shared" ref="O79:S88" si="14">O68/100000</f>
        <v>44.035800000000002</v>
      </c>
      <c r="P79">
        <f t="shared" si="14"/>
        <v>39.764659999999999</v>
      </c>
      <c r="Q79">
        <f t="shared" si="14"/>
        <v>29.46116</v>
      </c>
      <c r="R79">
        <f t="shared" si="14"/>
        <v>18.658180000000002</v>
      </c>
      <c r="S79">
        <f t="shared" si="14"/>
        <v>8.19665</v>
      </c>
    </row>
    <row r="80" spans="1:21">
      <c r="A80" s="17" t="s">
        <v>54</v>
      </c>
      <c r="B80" s="22">
        <v>9.1808471549905697</v>
      </c>
      <c r="C80" s="22">
        <v>0.95559071625888303</v>
      </c>
      <c r="D80" t="s">
        <v>133</v>
      </c>
      <c r="E80" s="22">
        <v>661</v>
      </c>
      <c r="O80">
        <f t="shared" si="14"/>
        <v>116.86964999999999</v>
      </c>
      <c r="P80">
        <f t="shared" si="14"/>
        <v>131.41996</v>
      </c>
      <c r="Q80">
        <f t="shared" si="14"/>
        <v>118.27867000000001</v>
      </c>
      <c r="R80">
        <f t="shared" si="14"/>
        <v>102.31659000000001</v>
      </c>
      <c r="S80">
        <f t="shared" si="14"/>
        <v>112.13381</v>
      </c>
    </row>
    <row r="81" spans="1:19">
      <c r="E81">
        <f>SUM(E71:E80)</f>
        <v>115705</v>
      </c>
      <c r="F81" t="s">
        <v>135</v>
      </c>
      <c r="O81">
        <f t="shared" si="14"/>
        <v>1229.2325000000001</v>
      </c>
      <c r="P81">
        <f t="shared" si="14"/>
        <v>1229.2325000000001</v>
      </c>
      <c r="Q81">
        <f t="shared" si="14"/>
        <v>1307.77136</v>
      </c>
      <c r="R81">
        <f t="shared" si="14"/>
        <v>1307.77136</v>
      </c>
      <c r="S81">
        <f t="shared" si="14"/>
        <v>2724.31378</v>
      </c>
    </row>
    <row r="82" spans="1:19">
      <c r="O82">
        <f t="shared" si="14"/>
        <v>75.242739999999998</v>
      </c>
      <c r="P82">
        <f t="shared" si="14"/>
        <v>64.756290000000007</v>
      </c>
      <c r="Q82">
        <f t="shared" si="14"/>
        <v>42.766260000000003</v>
      </c>
      <c r="R82">
        <f t="shared" si="14"/>
        <v>50.497590000000002</v>
      </c>
      <c r="S82">
        <f t="shared" si="14"/>
        <v>16.06118</v>
      </c>
    </row>
    <row r="83" spans="1:19">
      <c r="O83">
        <f t="shared" si="14"/>
        <v>129.57077000000001</v>
      </c>
      <c r="P83">
        <f t="shared" si="14"/>
        <v>320.35115000000002</v>
      </c>
      <c r="Q83">
        <f t="shared" si="14"/>
        <v>596.82623999999998</v>
      </c>
      <c r="R83">
        <f t="shared" si="14"/>
        <v>588.06217000000004</v>
      </c>
      <c r="S83">
        <f t="shared" si="14"/>
        <v>725.45691999999997</v>
      </c>
    </row>
    <row r="84" spans="1:19">
      <c r="B84" t="s">
        <v>138</v>
      </c>
      <c r="O84">
        <f t="shared" si="14"/>
        <v>119.02818000000001</v>
      </c>
      <c r="P84">
        <f t="shared" si="14"/>
        <v>202.48410999999999</v>
      </c>
      <c r="Q84">
        <f t="shared" si="14"/>
        <v>227.44695999999999</v>
      </c>
      <c r="R84">
        <f t="shared" si="14"/>
        <v>272.49664999999999</v>
      </c>
      <c r="S84">
        <f t="shared" si="14"/>
        <v>675.00921000000005</v>
      </c>
    </row>
    <row r="85" spans="1:19">
      <c r="B85" t="s">
        <v>113</v>
      </c>
      <c r="C85" t="s">
        <v>115</v>
      </c>
      <c r="O85">
        <f t="shared" si="14"/>
        <v>57.89208</v>
      </c>
      <c r="P85">
        <f t="shared" si="14"/>
        <v>86.180239999999998</v>
      </c>
      <c r="Q85">
        <f t="shared" si="14"/>
        <v>94.942660000000004</v>
      </c>
      <c r="R85">
        <f t="shared" si="14"/>
        <v>112.72898000000001</v>
      </c>
      <c r="S85">
        <f t="shared" si="14"/>
        <v>161.48656</v>
      </c>
    </row>
    <row r="86" spans="1:19">
      <c r="A86" t="s">
        <v>35</v>
      </c>
      <c r="B86">
        <v>2E-3</v>
      </c>
      <c r="C86">
        <v>0.11</v>
      </c>
      <c r="E86" t="s">
        <v>139</v>
      </c>
      <c r="O86">
        <f t="shared" si="14"/>
        <v>172.99207000000001</v>
      </c>
      <c r="P86">
        <f t="shared" si="14"/>
        <v>220.51843</v>
      </c>
      <c r="Q86">
        <f t="shared" si="14"/>
        <v>198.87867</v>
      </c>
      <c r="R86">
        <f t="shared" si="14"/>
        <v>177.85968</v>
      </c>
      <c r="S86">
        <f t="shared" si="14"/>
        <v>161.15555000000001</v>
      </c>
    </row>
    <row r="87" spans="1:19">
      <c r="A87" t="s">
        <v>36</v>
      </c>
      <c r="B87">
        <v>2E-3</v>
      </c>
      <c r="C87">
        <v>0.11</v>
      </c>
      <c r="O87">
        <f t="shared" si="14"/>
        <v>135.37161</v>
      </c>
      <c r="P87">
        <f t="shared" si="14"/>
        <v>153.75246000000001</v>
      </c>
      <c r="Q87">
        <f t="shared" si="14"/>
        <v>111.32931000000001</v>
      </c>
      <c r="R87">
        <f t="shared" si="14"/>
        <v>76.793689999999998</v>
      </c>
      <c r="S87">
        <f t="shared" si="14"/>
        <v>101.00855</v>
      </c>
    </row>
    <row r="88" spans="1:19">
      <c r="A88" t="s">
        <v>38</v>
      </c>
      <c r="B88">
        <v>4.0000000000000001E-3</v>
      </c>
      <c r="C88">
        <v>0.11</v>
      </c>
      <c r="E88" t="s">
        <v>140</v>
      </c>
      <c r="O88">
        <f t="shared" si="14"/>
        <v>10.549519999999999</v>
      </c>
      <c r="P88">
        <f t="shared" si="14"/>
        <v>10.734529999999999</v>
      </c>
      <c r="Q88">
        <f t="shared" si="14"/>
        <v>8.8714099999999991</v>
      </c>
      <c r="R88">
        <f t="shared" si="14"/>
        <v>9.4003099999999993</v>
      </c>
      <c r="S88">
        <f t="shared" si="14"/>
        <v>4.09328</v>
      </c>
    </row>
    <row r="89" spans="1:19">
      <c r="A89" t="s">
        <v>40</v>
      </c>
      <c r="B89">
        <v>4.0000000000000001E-3</v>
      </c>
      <c r="C89">
        <v>0.11</v>
      </c>
      <c r="E89" t="s">
        <v>278</v>
      </c>
    </row>
    <row r="90" spans="1:19">
      <c r="A90" t="s">
        <v>41</v>
      </c>
      <c r="B90">
        <v>4.0000000000000001E-3</v>
      </c>
      <c r="C90">
        <v>0.11</v>
      </c>
      <c r="E90" t="s">
        <v>279</v>
      </c>
    </row>
    <row r="91" spans="1:19">
      <c r="A91" t="s">
        <v>47</v>
      </c>
      <c r="B91">
        <v>4.0000000000000001E-3</v>
      </c>
      <c r="C91">
        <v>0.11</v>
      </c>
      <c r="E91" t="s">
        <v>143</v>
      </c>
    </row>
    <row r="92" spans="1:19">
      <c r="A92" t="s">
        <v>45</v>
      </c>
      <c r="B92">
        <v>4.0000000000000001E-3</v>
      </c>
      <c r="C92">
        <v>0.11</v>
      </c>
    </row>
    <row r="93" spans="1:19">
      <c r="A93" t="s">
        <v>51</v>
      </c>
      <c r="B93">
        <v>4.0000000000000001E-3</v>
      </c>
      <c r="C93">
        <v>0.11</v>
      </c>
    </row>
    <row r="94" spans="1:19">
      <c r="A94" s="17" t="s">
        <v>39</v>
      </c>
      <c r="B94">
        <v>4.0000000000000001E-3</v>
      </c>
      <c r="C94">
        <v>0.11</v>
      </c>
    </row>
    <row r="95" spans="1:19">
      <c r="A95" s="17" t="s">
        <v>54</v>
      </c>
      <c r="B95">
        <v>4.0000000000000001E-3</v>
      </c>
      <c r="C95">
        <v>0.11</v>
      </c>
    </row>
    <row r="98" spans="1:14">
      <c r="B98" t="s">
        <v>144</v>
      </c>
    </row>
    <row r="99" spans="1:14">
      <c r="A99" s="5" t="s">
        <v>165</v>
      </c>
      <c r="B99" t="s">
        <v>145</v>
      </c>
      <c r="C99" t="s">
        <v>146</v>
      </c>
      <c r="D99" t="s">
        <v>153</v>
      </c>
      <c r="E99" t="s">
        <v>154</v>
      </c>
      <c r="F99" t="s">
        <v>155</v>
      </c>
      <c r="G99" t="s">
        <v>170</v>
      </c>
      <c r="H99" t="s">
        <v>168</v>
      </c>
      <c r="J99" t="s">
        <v>147</v>
      </c>
    </row>
    <row r="100" spans="1:14">
      <c r="A100" t="s">
        <v>35</v>
      </c>
      <c r="B100">
        <v>-12.903000000000002</v>
      </c>
      <c r="C100">
        <v>0.25</v>
      </c>
      <c r="G100" t="s">
        <v>171</v>
      </c>
      <c r="H100">
        <f>B100/-C100</f>
        <v>51.612000000000009</v>
      </c>
      <c r="J100" t="s">
        <v>159</v>
      </c>
    </row>
    <row r="101" spans="1:14">
      <c r="A101" t="s">
        <v>36</v>
      </c>
      <c r="B101">
        <v>-10</v>
      </c>
      <c r="C101">
        <v>0.25</v>
      </c>
      <c r="F101" s="1"/>
      <c r="G101" t="s">
        <v>137</v>
      </c>
      <c r="H101">
        <f>B101/-C101</f>
        <v>40</v>
      </c>
      <c r="J101" t="s">
        <v>148</v>
      </c>
    </row>
    <row r="102" spans="1:14">
      <c r="A102" t="s">
        <v>38</v>
      </c>
      <c r="B102">
        <v>-4</v>
      </c>
      <c r="C102">
        <v>0.25</v>
      </c>
      <c r="G102" t="s">
        <v>137</v>
      </c>
      <c r="H102">
        <f>B102/-C102</f>
        <v>16</v>
      </c>
      <c r="J102" t="s">
        <v>149</v>
      </c>
    </row>
    <row r="103" spans="1:14">
      <c r="A103" t="s">
        <v>40</v>
      </c>
      <c r="B103">
        <f>-C103*E103*F103</f>
        <v>-12.903000000000002</v>
      </c>
      <c r="C103">
        <f>D103</f>
        <v>0.25</v>
      </c>
      <c r="D103">
        <v>0.25</v>
      </c>
      <c r="E103">
        <v>3.74</v>
      </c>
      <c r="F103">
        <f>AVERAGE(10.5,13.5,13.5,13.5,14,15.5,14,15.2,13,14,15.5,13,14,15.5,14,9,14,15.5,15.5,12,13.5,13.7,13.7,13.7,13.8,13.8,13.8,14.1,14.1,14.1,14.3,14.3)</f>
        <v>13.800000000000002</v>
      </c>
      <c r="G103" t="s">
        <v>157</v>
      </c>
      <c r="H103">
        <f>B103/-C103</f>
        <v>51.612000000000009</v>
      </c>
      <c r="J103" t="s">
        <v>150</v>
      </c>
    </row>
    <row r="104" spans="1:14">
      <c r="A104" t="s">
        <v>41</v>
      </c>
      <c r="B104">
        <f>-C104*E104*F104</f>
        <v>-11.676711538461543</v>
      </c>
      <c r="C104">
        <f>D104</f>
        <v>0.25</v>
      </c>
      <c r="D104">
        <v>0.25</v>
      </c>
      <c r="E104">
        <v>3.74</v>
      </c>
      <c r="F104">
        <f>AVERAGE(10.7,13.8,13.8,13,13,13.5,14,6,6,7,9,12,14,12,13.5,13.7,13.7,13.7,13.8,13.8,13.8,14.1,14.1,14.1,14.3,14.3)</f>
        <v>12.488461538461543</v>
      </c>
      <c r="G104" t="s">
        <v>156</v>
      </c>
      <c r="H104">
        <f t="shared" ref="H104:H109" si="15">B104/-C104</f>
        <v>46.706846153846172</v>
      </c>
      <c r="J104" t="s">
        <v>161</v>
      </c>
    </row>
    <row r="105" spans="1:14">
      <c r="A105" t="s">
        <v>47</v>
      </c>
      <c r="B105">
        <f>-C105*E105*F105</f>
        <v>-15.44232</v>
      </c>
      <c r="C105">
        <f>D105</f>
        <v>0.48</v>
      </c>
      <c r="D105">
        <v>0.48</v>
      </c>
      <c r="E105">
        <v>2.35</v>
      </c>
      <c r="F105">
        <f>AVERAGE(10.2,13.3,13.3,14,15.2,12.9,14.5,15.5,14,14)</f>
        <v>13.690000000000001</v>
      </c>
      <c r="G105" t="s">
        <v>158</v>
      </c>
      <c r="H105">
        <f t="shared" si="15"/>
        <v>32.171500000000002</v>
      </c>
      <c r="J105" t="s">
        <v>151</v>
      </c>
    </row>
    <row r="106" spans="1:14">
      <c r="A106" t="s">
        <v>45</v>
      </c>
      <c r="B106">
        <f>-C106*E106*F106</f>
        <v>-13.89410625</v>
      </c>
      <c r="C106">
        <f>D106</f>
        <v>0.56999999999999995</v>
      </c>
      <c r="D106">
        <v>0.56999999999999995</v>
      </c>
      <c r="E106">
        <v>2.15</v>
      </c>
      <c r="F106">
        <f>AVERAGE(10.3,13.3,13.3,7.5,10.2,11.4,12.7,12)</f>
        <v>11.337500000000002</v>
      </c>
      <c r="G106" t="s">
        <v>158</v>
      </c>
      <c r="H106">
        <f t="shared" si="15"/>
        <v>24.375625000000003</v>
      </c>
      <c r="J106" t="s">
        <v>152</v>
      </c>
    </row>
    <row r="107" spans="1:14">
      <c r="A107" t="s">
        <v>51</v>
      </c>
      <c r="B107">
        <v>-5</v>
      </c>
      <c r="C107">
        <v>0.25</v>
      </c>
      <c r="G107" t="s">
        <v>137</v>
      </c>
      <c r="H107">
        <f t="shared" si="15"/>
        <v>20</v>
      </c>
      <c r="J107" t="s">
        <v>160</v>
      </c>
    </row>
    <row r="108" spans="1:14">
      <c r="A108" s="17" t="s">
        <v>39</v>
      </c>
      <c r="B108" s="22">
        <v>-8</v>
      </c>
      <c r="C108" s="22">
        <f>C104</f>
        <v>0.25</v>
      </c>
      <c r="D108" s="22"/>
      <c r="E108" s="22"/>
      <c r="F108" s="22"/>
      <c r="G108" s="22" t="s">
        <v>137</v>
      </c>
      <c r="H108" s="22">
        <f t="shared" si="15"/>
        <v>32</v>
      </c>
    </row>
    <row r="109" spans="1:14">
      <c r="A109" s="17" t="s">
        <v>54</v>
      </c>
      <c r="B109" s="22">
        <v>-12</v>
      </c>
      <c r="C109" s="22">
        <f>C103</f>
        <v>0.25</v>
      </c>
      <c r="D109" s="22"/>
      <c r="E109" s="22"/>
      <c r="F109" s="22"/>
      <c r="G109" s="22" t="s">
        <v>171</v>
      </c>
      <c r="H109" s="22">
        <f t="shared" si="15"/>
        <v>48</v>
      </c>
    </row>
    <row r="110" spans="1:14">
      <c r="J110" t="s">
        <v>167</v>
      </c>
    </row>
    <row r="111" spans="1:14">
      <c r="A111" s="5" t="s">
        <v>166</v>
      </c>
      <c r="B111" t="s">
        <v>145</v>
      </c>
      <c r="C111" t="s">
        <v>146</v>
      </c>
      <c r="D111" t="s">
        <v>153</v>
      </c>
      <c r="E111" t="s">
        <v>154</v>
      </c>
      <c r="F111" t="s">
        <v>162</v>
      </c>
      <c r="H111" t="s">
        <v>168</v>
      </c>
      <c r="J111" t="s">
        <v>169</v>
      </c>
    </row>
    <row r="112" spans="1:14">
      <c r="A112" t="s">
        <v>35</v>
      </c>
      <c r="B112">
        <v>-12.064800000000002</v>
      </c>
      <c r="C112">
        <v>0.22</v>
      </c>
      <c r="G112" t="s">
        <v>171</v>
      </c>
      <c r="H112">
        <f>B112/-C112</f>
        <v>54.840000000000011</v>
      </c>
      <c r="N112" s="1"/>
    </row>
    <row r="113" spans="1:8">
      <c r="A113" t="s">
        <v>36</v>
      </c>
      <c r="B113">
        <v>-10</v>
      </c>
      <c r="C113">
        <v>0.25</v>
      </c>
      <c r="G113" t="s">
        <v>137</v>
      </c>
      <c r="H113">
        <f>B113/-C113</f>
        <v>40</v>
      </c>
    </row>
    <row r="114" spans="1:8">
      <c r="A114" t="s">
        <v>38</v>
      </c>
      <c r="B114">
        <v>-200</v>
      </c>
      <c r="C114">
        <v>1</v>
      </c>
      <c r="G114" t="s">
        <v>163</v>
      </c>
      <c r="H114">
        <f>B114/-C114</f>
        <v>200</v>
      </c>
    </row>
    <row r="115" spans="1:8">
      <c r="A115" t="s">
        <v>40</v>
      </c>
      <c r="B115">
        <f>-C115*E115*F115</f>
        <v>-12.064800000000002</v>
      </c>
      <c r="C115">
        <f>D115</f>
        <v>0.22</v>
      </c>
      <c r="D115">
        <v>0.22</v>
      </c>
      <c r="E115">
        <v>4.57</v>
      </c>
      <c r="F115">
        <f>AVERAGE(14,12,10)</f>
        <v>12</v>
      </c>
      <c r="G115" t="s">
        <v>164</v>
      </c>
      <c r="H115">
        <f>B115/-C115</f>
        <v>54.840000000000011</v>
      </c>
    </row>
    <row r="116" spans="1:8">
      <c r="A116" t="s">
        <v>41</v>
      </c>
      <c r="B116">
        <v>-10</v>
      </c>
      <c r="C116">
        <v>0.25</v>
      </c>
      <c r="G116" t="s">
        <v>137</v>
      </c>
      <c r="H116">
        <f t="shared" ref="H116:H121" si="16">B116/-C116</f>
        <v>40</v>
      </c>
    </row>
    <row r="117" spans="1:8">
      <c r="A117" t="s">
        <v>47</v>
      </c>
      <c r="B117">
        <v>-200</v>
      </c>
      <c r="C117">
        <v>1</v>
      </c>
      <c r="G117" t="s">
        <v>163</v>
      </c>
      <c r="H117">
        <f t="shared" si="16"/>
        <v>200</v>
      </c>
    </row>
    <row r="118" spans="1:8">
      <c r="A118" t="s">
        <v>45</v>
      </c>
      <c r="B118">
        <v>-200</v>
      </c>
      <c r="C118">
        <v>1</v>
      </c>
      <c r="G118" t="s">
        <v>163</v>
      </c>
      <c r="H118">
        <f t="shared" si="16"/>
        <v>200</v>
      </c>
    </row>
    <row r="119" spans="1:8">
      <c r="A119" t="s">
        <v>51</v>
      </c>
      <c r="B119">
        <v>-200</v>
      </c>
      <c r="C119">
        <v>1</v>
      </c>
      <c r="G119" t="s">
        <v>163</v>
      </c>
      <c r="H119">
        <f t="shared" si="16"/>
        <v>200</v>
      </c>
    </row>
    <row r="120" spans="1:8">
      <c r="A120" s="17" t="s">
        <v>39</v>
      </c>
      <c r="B120" s="22">
        <v>-8</v>
      </c>
      <c r="C120" s="22">
        <v>0.25</v>
      </c>
      <c r="D120" s="22"/>
      <c r="E120" s="22"/>
      <c r="F120" s="22"/>
      <c r="G120" s="22" t="s">
        <v>137</v>
      </c>
      <c r="H120" s="22">
        <f t="shared" si="16"/>
        <v>32</v>
      </c>
    </row>
    <row r="121" spans="1:8">
      <c r="A121" s="17" t="s">
        <v>54</v>
      </c>
      <c r="B121" s="22">
        <v>-12</v>
      </c>
      <c r="C121" s="22">
        <v>0.25</v>
      </c>
      <c r="D121" s="22"/>
      <c r="E121" s="22"/>
      <c r="F121" s="22"/>
      <c r="G121" s="22" t="s">
        <v>171</v>
      </c>
      <c r="H121" s="22">
        <f t="shared" si="16"/>
        <v>48</v>
      </c>
    </row>
    <row r="123" spans="1:8">
      <c r="A123" t="s">
        <v>176</v>
      </c>
    </row>
    <row r="124" spans="1:8">
      <c r="B124" t="s">
        <v>172</v>
      </c>
      <c r="C124" t="s">
        <v>173</v>
      </c>
      <c r="E124" t="s">
        <v>174</v>
      </c>
      <c r="F124" t="s">
        <v>175</v>
      </c>
    </row>
    <row r="125" spans="1:8">
      <c r="B125">
        <v>-12.903000000000002</v>
      </c>
      <c r="C125">
        <v>-12.064800000000002</v>
      </c>
      <c r="E125">
        <v>0.25</v>
      </c>
      <c r="F125">
        <v>0.22</v>
      </c>
    </row>
    <row r="126" spans="1:8">
      <c r="B126">
        <v>-10</v>
      </c>
      <c r="C126">
        <v>-10</v>
      </c>
      <c r="E126">
        <v>0.25</v>
      </c>
      <c r="F126">
        <v>0.25</v>
      </c>
    </row>
    <row r="127" spans="1:8">
      <c r="B127">
        <v>-4</v>
      </c>
      <c r="C127">
        <v>-200</v>
      </c>
      <c r="E127">
        <v>0.25</v>
      </c>
      <c r="F127">
        <v>1</v>
      </c>
    </row>
    <row r="128" spans="1:8">
      <c r="B128">
        <v>-12.903000000000002</v>
      </c>
      <c r="C128">
        <v>-12.064800000000002</v>
      </c>
      <c r="E128">
        <v>0.25</v>
      </c>
      <c r="F128">
        <v>0.22</v>
      </c>
    </row>
    <row r="129" spans="2:6">
      <c r="B129">
        <v>-11.676711538461543</v>
      </c>
      <c r="C129">
        <v>-10</v>
      </c>
      <c r="E129">
        <v>0.25</v>
      </c>
      <c r="F129">
        <v>0.25</v>
      </c>
    </row>
    <row r="130" spans="2:6">
      <c r="B130">
        <v>-15.44232</v>
      </c>
      <c r="C130">
        <v>-200</v>
      </c>
      <c r="E130">
        <v>0.48</v>
      </c>
      <c r="F130">
        <v>1</v>
      </c>
    </row>
    <row r="131" spans="2:6">
      <c r="B131">
        <v>-13.89410625</v>
      </c>
      <c r="C131">
        <v>-200</v>
      </c>
      <c r="E131">
        <v>0.56999999999999995</v>
      </c>
      <c r="F131">
        <v>1</v>
      </c>
    </row>
    <row r="132" spans="2:6">
      <c r="B132">
        <v>-5</v>
      </c>
      <c r="C132">
        <v>-200</v>
      </c>
      <c r="E132">
        <v>0.25</v>
      </c>
      <c r="F132">
        <v>1</v>
      </c>
    </row>
    <row r="133" spans="2:6">
      <c r="B133">
        <v>-8</v>
      </c>
      <c r="C133">
        <v>-8</v>
      </c>
      <c r="E133">
        <v>0.25</v>
      </c>
      <c r="F133">
        <v>0.25</v>
      </c>
    </row>
    <row r="134" spans="2:6">
      <c r="B134">
        <v>-12</v>
      </c>
      <c r="C134">
        <v>-12</v>
      </c>
      <c r="E134">
        <v>0.25</v>
      </c>
      <c r="F134">
        <v>0.25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0"/>
  <sheetViews>
    <sheetView topLeftCell="A40" workbookViewId="0">
      <selection activeCell="G78" sqref="G78"/>
    </sheetView>
  </sheetViews>
  <sheetFormatPr baseColWidth="10" defaultColWidth="8.83203125" defaultRowHeight="14" x14ac:dyDescent="0"/>
  <sheetData>
    <row r="1" spans="1:27">
      <c r="B1">
        <v>9.8765333333333327</v>
      </c>
      <c r="C1">
        <v>9.8765333333333327</v>
      </c>
      <c r="D1">
        <v>9.8765333333333327</v>
      </c>
      <c r="E1">
        <v>9.8765333333333327</v>
      </c>
      <c r="F1">
        <v>9.8765333333333327</v>
      </c>
      <c r="G1">
        <v>9.8765333333333327</v>
      </c>
      <c r="H1">
        <v>9.8765333333333327</v>
      </c>
      <c r="I1">
        <v>9.8765333333333327</v>
      </c>
      <c r="J1">
        <v>9.8765333333333327</v>
      </c>
      <c r="K1">
        <v>9.8765333333333327</v>
      </c>
      <c r="L1">
        <v>9.8765333333333327</v>
      </c>
      <c r="M1">
        <v>9.8765333333333327</v>
      </c>
      <c r="N1">
        <v>9.8765333333333327</v>
      </c>
      <c r="O1">
        <v>9.8765333333333327</v>
      </c>
      <c r="P1">
        <v>9.8765333333333327</v>
      </c>
      <c r="Q1" t="s">
        <v>70</v>
      </c>
      <c r="R1" t="s">
        <v>66</v>
      </c>
    </row>
    <row r="2" spans="1:27">
      <c r="A2" t="s">
        <v>64</v>
      </c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110</v>
      </c>
      <c r="M2">
        <v>120</v>
      </c>
      <c r="N2">
        <v>130</v>
      </c>
      <c r="O2">
        <v>140</v>
      </c>
      <c r="P2">
        <v>150</v>
      </c>
      <c r="Q2" t="s">
        <v>75</v>
      </c>
      <c r="R2">
        <f>148*1.001</f>
        <v>148.148</v>
      </c>
      <c r="S2" t="s">
        <v>65</v>
      </c>
    </row>
    <row r="3" spans="1:27">
      <c r="A3" t="s">
        <v>35</v>
      </c>
      <c r="B3" s="2">
        <v>0.66268857999999997</v>
      </c>
      <c r="C3" s="2">
        <v>0.78275415000000004</v>
      </c>
      <c r="D3" s="2">
        <v>0.69471070000000001</v>
      </c>
      <c r="E3" s="2">
        <v>0.61053491999999998</v>
      </c>
      <c r="F3" s="2">
        <v>0.52648702999999997</v>
      </c>
      <c r="G3" s="2">
        <v>0.44055388000000001</v>
      </c>
      <c r="H3" s="2">
        <v>0.35183218999999999</v>
      </c>
      <c r="I3" s="2">
        <v>0.26060896</v>
      </c>
      <c r="J3" s="2">
        <v>0.16915631</v>
      </c>
      <c r="K3" s="2">
        <v>8.5657367999999998E-2</v>
      </c>
      <c r="L3" s="2">
        <v>1.4235365E-2</v>
      </c>
      <c r="M3" s="2">
        <v>0</v>
      </c>
      <c r="N3" s="2">
        <v>0</v>
      </c>
      <c r="O3" s="2">
        <v>0</v>
      </c>
      <c r="P3" s="2">
        <v>0</v>
      </c>
      <c r="Q3">
        <v>1</v>
      </c>
      <c r="R3">
        <v>15</v>
      </c>
      <c r="S3" t="s">
        <v>67</v>
      </c>
      <c r="T3" t="s">
        <v>68</v>
      </c>
    </row>
    <row r="4" spans="1:27">
      <c r="A4" s="15" t="s">
        <v>37</v>
      </c>
      <c r="B4" s="16">
        <v>2.6402269</v>
      </c>
      <c r="C4" s="16">
        <v>4.7836717000000002</v>
      </c>
      <c r="D4" s="16">
        <v>5.3512421999999997</v>
      </c>
      <c r="E4" s="16">
        <v>6.3066725000000003</v>
      </c>
      <c r="F4" s="16">
        <v>8.5388107000000009</v>
      </c>
      <c r="G4" s="16">
        <v>11.161203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>
        <v>1</v>
      </c>
      <c r="R4">
        <f>R2/R3</f>
        <v>9.8765333333333327</v>
      </c>
      <c r="S4" t="s">
        <v>69</v>
      </c>
    </row>
    <row r="5" spans="1:27">
      <c r="A5" t="s">
        <v>38</v>
      </c>
      <c r="B5" s="2">
        <v>80.697299000000001</v>
      </c>
      <c r="C5" s="2">
        <v>85.853258999999994</v>
      </c>
      <c r="D5" s="2">
        <v>58.989362999999997</v>
      </c>
      <c r="E5" s="2">
        <v>30.434225999999999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>
        <v>1</v>
      </c>
    </row>
    <row r="6" spans="1:27">
      <c r="A6" s="15" t="s">
        <v>49</v>
      </c>
      <c r="B6" s="16">
        <v>1.8852205999999999E-3</v>
      </c>
      <c r="C6" s="16">
        <v>3.9069684000000004E-3</v>
      </c>
      <c r="D6" s="16">
        <v>3.8549236999999999E-3</v>
      </c>
      <c r="E6" s="16">
        <v>3.8321330000000002E-3</v>
      </c>
      <c r="F6" s="16">
        <v>3.8114598E-3</v>
      </c>
      <c r="G6" s="16">
        <v>3.7756335000000002E-3</v>
      </c>
      <c r="H6" s="16">
        <v>3.70799E-3</v>
      </c>
      <c r="I6" s="16">
        <v>3.5849626999999999E-3</v>
      </c>
      <c r="J6" s="16">
        <v>3.3785349000000002E-3</v>
      </c>
      <c r="K6" s="16">
        <v>3.0581133E-3</v>
      </c>
      <c r="L6" s="16">
        <v>2.5956259000000001E-3</v>
      </c>
      <c r="M6" s="16">
        <v>1.9734294999999998E-3</v>
      </c>
      <c r="N6" s="16">
        <v>1.2000765E-3</v>
      </c>
      <c r="O6" s="16">
        <v>5.2870840000000005E-4</v>
      </c>
      <c r="P6" s="16">
        <v>0</v>
      </c>
    </row>
    <row r="7" spans="1:27">
      <c r="A7" s="15" t="s">
        <v>268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27">
      <c r="A8" s="15" t="s">
        <v>269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27">
      <c r="A9" s="15" t="s">
        <v>267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7">
      <c r="A10" t="s">
        <v>51</v>
      </c>
      <c r="B10" s="2">
        <v>5.678337</v>
      </c>
      <c r="C10" s="2">
        <v>7.2383546000000001</v>
      </c>
      <c r="D10" s="2">
        <v>6.5280455999999996</v>
      </c>
      <c r="E10" s="2">
        <v>5.8381125999999997</v>
      </c>
      <c r="F10" s="2">
        <v>5.2898120999999998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>
        <v>1</v>
      </c>
    </row>
    <row r="11" spans="1:27">
      <c r="A11" s="17" t="s">
        <v>39</v>
      </c>
      <c r="B11" s="18">
        <v>4.4434731999999997</v>
      </c>
      <c r="C11" s="18">
        <v>5.0468111000000002</v>
      </c>
      <c r="D11" s="18">
        <v>3.6543024000000002</v>
      </c>
      <c r="E11" s="18">
        <v>2.5206962000000002</v>
      </c>
      <c r="F11" s="18">
        <v>1.6896202</v>
      </c>
      <c r="G11" s="18">
        <v>1.0732097</v>
      </c>
      <c r="H11" s="18">
        <v>0.55270109999999995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>
        <v>1</v>
      </c>
      <c r="X11" t="s">
        <v>117</v>
      </c>
      <c r="Y11" t="s">
        <v>118</v>
      </c>
    </row>
    <row r="12" spans="1:27">
      <c r="A12" s="17" t="s">
        <v>54</v>
      </c>
      <c r="B12" s="18">
        <v>0.14683387000000001</v>
      </c>
      <c r="C12" s="18">
        <v>0.19944634</v>
      </c>
      <c r="D12" s="18">
        <v>0.18371622000000001</v>
      </c>
      <c r="E12" s="18">
        <v>0.16863677999999999</v>
      </c>
      <c r="F12" s="18">
        <v>0.15346563999999999</v>
      </c>
      <c r="G12" s="18">
        <v>0.13773194</v>
      </c>
      <c r="H12" s="18">
        <v>0.12109971999999999</v>
      </c>
      <c r="I12" s="18">
        <v>0.10330729</v>
      </c>
      <c r="J12" s="18">
        <v>8.4151179000000007E-2</v>
      </c>
      <c r="K12" s="18">
        <v>6.3570465000000007E-2</v>
      </c>
      <c r="L12" s="18">
        <v>4.2037880999999999E-2</v>
      </c>
      <c r="M12" s="18">
        <v>2.1529942999999999E-2</v>
      </c>
      <c r="N12" s="18">
        <v>7.2207089E-3</v>
      </c>
      <c r="O12" s="18">
        <v>0</v>
      </c>
      <c r="P12" s="18">
        <v>0</v>
      </c>
      <c r="Q12">
        <v>1</v>
      </c>
      <c r="U12" t="s">
        <v>96</v>
      </c>
      <c r="X12" t="s">
        <v>116</v>
      </c>
    </row>
    <row r="13" spans="1:27">
      <c r="N13" t="s">
        <v>70</v>
      </c>
      <c r="U13" t="s">
        <v>95</v>
      </c>
      <c r="X13" t="s">
        <v>119</v>
      </c>
    </row>
    <row r="14" spans="1:27">
      <c r="A14" t="s">
        <v>0</v>
      </c>
      <c r="B14" t="s">
        <v>56</v>
      </c>
      <c r="C14" t="s">
        <v>57</v>
      </c>
      <c r="D14" t="s">
        <v>91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73</v>
      </c>
      <c r="K14" t="s">
        <v>65</v>
      </c>
      <c r="L14" t="s">
        <v>76</v>
      </c>
      <c r="M14" t="s">
        <v>75</v>
      </c>
      <c r="T14" t="s">
        <v>92</v>
      </c>
      <c r="U14" t="s">
        <v>93</v>
      </c>
      <c r="V14" t="s">
        <v>94</v>
      </c>
      <c r="X14" t="s">
        <v>93</v>
      </c>
      <c r="Y14" t="s">
        <v>94</v>
      </c>
      <c r="AA14" t="s">
        <v>91</v>
      </c>
    </row>
    <row r="15" spans="1:27">
      <c r="A15" t="s">
        <v>35</v>
      </c>
      <c r="B15">
        <v>0.1</v>
      </c>
      <c r="C15">
        <v>99.99</v>
      </c>
      <c r="D15">
        <v>79.989999999999995</v>
      </c>
      <c r="E15">
        <v>0.58699999999999997</v>
      </c>
      <c r="F15">
        <v>3.0000000000000001E-3</v>
      </c>
      <c r="G15">
        <v>3.1219999999999999</v>
      </c>
      <c r="H15">
        <v>16.125</v>
      </c>
      <c r="I15">
        <v>1</v>
      </c>
      <c r="J15">
        <v>1</v>
      </c>
      <c r="K15">
        <f t="shared" ref="K15:K24" si="0">C15*1.01</f>
        <v>100.98989999999999</v>
      </c>
      <c r="L15">
        <f t="shared" ref="L15:L24" si="1">SUM(N15:R15)</f>
        <v>110</v>
      </c>
      <c r="M15">
        <v>1</v>
      </c>
      <c r="N15">
        <v>20</v>
      </c>
      <c r="O15">
        <v>20</v>
      </c>
      <c r="P15">
        <v>20</v>
      </c>
      <c r="Q15">
        <v>20</v>
      </c>
      <c r="R15">
        <v>30</v>
      </c>
      <c r="T15">
        <v>4</v>
      </c>
      <c r="U15">
        <v>-5</v>
      </c>
      <c r="V15">
        <v>0.1</v>
      </c>
      <c r="W15" t="s">
        <v>35</v>
      </c>
    </row>
    <row r="16" spans="1:27">
      <c r="A16" s="15" t="s">
        <v>37</v>
      </c>
      <c r="B16" s="15">
        <v>0.35199999999999998</v>
      </c>
      <c r="C16" s="15">
        <v>53</v>
      </c>
      <c r="D16" s="15">
        <v>49.99</v>
      </c>
      <c r="E16" s="15">
        <v>0.58699999999999997</v>
      </c>
      <c r="F16" s="15">
        <v>5.0000000000000001E-3</v>
      </c>
      <c r="G16" s="15">
        <v>3.141</v>
      </c>
      <c r="H16" s="15">
        <v>24.51</v>
      </c>
      <c r="I16" s="15">
        <v>1</v>
      </c>
      <c r="J16" s="15" t="s">
        <v>74</v>
      </c>
      <c r="K16" s="15">
        <f>C16*1.01</f>
        <v>53.53</v>
      </c>
      <c r="L16">
        <f>SUM(N16:R16)</f>
        <v>60</v>
      </c>
      <c r="M16">
        <v>1</v>
      </c>
      <c r="N16">
        <v>10</v>
      </c>
      <c r="O16">
        <v>10</v>
      </c>
      <c r="P16">
        <v>10</v>
      </c>
      <c r="Q16">
        <v>10</v>
      </c>
      <c r="R16">
        <v>20</v>
      </c>
      <c r="T16">
        <v>5</v>
      </c>
      <c r="U16">
        <v>-5</v>
      </c>
      <c r="V16">
        <v>0.1</v>
      </c>
      <c r="W16" s="15" t="s">
        <v>37</v>
      </c>
    </row>
    <row r="17" spans="1:30">
      <c r="A17" t="s">
        <v>38</v>
      </c>
      <c r="B17">
        <v>0.28000000000000003</v>
      </c>
      <c r="C17">
        <v>34.99</v>
      </c>
      <c r="D17">
        <v>25</v>
      </c>
      <c r="E17">
        <v>0.58699999999999997</v>
      </c>
      <c r="F17">
        <v>0.01</v>
      </c>
      <c r="G17">
        <v>2.99</v>
      </c>
      <c r="H17">
        <v>101.91</v>
      </c>
      <c r="I17">
        <v>1</v>
      </c>
      <c r="J17">
        <v>1</v>
      </c>
      <c r="K17">
        <f t="shared" si="0"/>
        <v>35.3399</v>
      </c>
      <c r="L17">
        <f t="shared" si="1"/>
        <v>40</v>
      </c>
      <c r="M17">
        <v>1</v>
      </c>
      <c r="N17">
        <v>5</v>
      </c>
      <c r="O17">
        <v>5</v>
      </c>
      <c r="P17">
        <v>10</v>
      </c>
      <c r="Q17">
        <v>10</v>
      </c>
      <c r="R17">
        <v>10</v>
      </c>
      <c r="T17">
        <v>5</v>
      </c>
      <c r="U17">
        <v>-5</v>
      </c>
      <c r="V17">
        <v>0.2</v>
      </c>
      <c r="W17" t="s">
        <v>38</v>
      </c>
      <c r="X17" s="20">
        <f>AVERAGE(-28.484,-40.461)</f>
        <v>-34.472499999999997</v>
      </c>
      <c r="Y17" s="20">
        <f>AVERAGE(1.123,1.597)</f>
        <v>1.3599999999999999</v>
      </c>
      <c r="Z17" s="20" t="s">
        <v>256</v>
      </c>
      <c r="AA17" s="20">
        <f>AVERAGE(25.4,25.3)</f>
        <v>25.35</v>
      </c>
    </row>
    <row r="18" spans="1:30">
      <c r="A18" s="15" t="s">
        <v>49</v>
      </c>
      <c r="B18" s="15">
        <v>0.17299999999999999</v>
      </c>
      <c r="C18" s="15">
        <v>137</v>
      </c>
      <c r="D18" s="15">
        <v>26</v>
      </c>
      <c r="E18" s="15">
        <v>0.30599999999999999</v>
      </c>
      <c r="F18" s="15">
        <v>7.0000000000000001E-3</v>
      </c>
      <c r="G18" s="15">
        <v>3.278</v>
      </c>
      <c r="H18" s="15">
        <v>0.43</v>
      </c>
      <c r="I18" s="15">
        <v>1</v>
      </c>
      <c r="J18" s="15">
        <v>0</v>
      </c>
      <c r="K18" s="15">
        <f t="shared" si="0"/>
        <v>138.37</v>
      </c>
      <c r="L18">
        <f t="shared" si="1"/>
        <v>140</v>
      </c>
      <c r="M18">
        <v>1</v>
      </c>
      <c r="N18">
        <v>20</v>
      </c>
      <c r="O18">
        <v>20</v>
      </c>
      <c r="P18">
        <v>20</v>
      </c>
      <c r="Q18">
        <v>40</v>
      </c>
      <c r="R18">
        <v>40</v>
      </c>
      <c r="T18">
        <v>3</v>
      </c>
      <c r="U18">
        <v>-5</v>
      </c>
      <c r="V18">
        <v>0.16</v>
      </c>
      <c r="W18" t="s">
        <v>49</v>
      </c>
      <c r="X18" s="20"/>
      <c r="Y18" s="20"/>
      <c r="Z18" s="20"/>
      <c r="AA18" s="20"/>
    </row>
    <row r="19" spans="1:30">
      <c r="A19" s="15" t="s">
        <v>268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>
        <f t="shared" si="1"/>
        <v>0</v>
      </c>
      <c r="M19">
        <v>1</v>
      </c>
      <c r="T19">
        <v>3</v>
      </c>
      <c r="U19">
        <v>-5</v>
      </c>
      <c r="V19">
        <v>0.13</v>
      </c>
      <c r="W19" t="s">
        <v>268</v>
      </c>
      <c r="X19" s="20"/>
      <c r="Y19" s="20"/>
      <c r="Z19" s="20"/>
      <c r="AA19" s="20"/>
    </row>
    <row r="20" spans="1:30">
      <c r="A20" s="15" t="s">
        <v>269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>
        <f t="shared" si="1"/>
        <v>0</v>
      </c>
      <c r="M20">
        <v>1</v>
      </c>
      <c r="T20">
        <v>3</v>
      </c>
      <c r="U20">
        <v>-5</v>
      </c>
      <c r="V20">
        <v>0.2</v>
      </c>
      <c r="W20" t="s">
        <v>269</v>
      </c>
      <c r="X20" s="20"/>
      <c r="Y20" s="20"/>
      <c r="Z20" s="20"/>
      <c r="AA20" s="20"/>
    </row>
    <row r="21" spans="1:30">
      <c r="A21" s="15" t="s">
        <v>267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>
        <f t="shared" si="1"/>
        <v>0</v>
      </c>
      <c r="M21">
        <v>1</v>
      </c>
      <c r="T21">
        <v>3</v>
      </c>
      <c r="U21">
        <v>-5</v>
      </c>
      <c r="V21">
        <v>0.2</v>
      </c>
      <c r="W21" t="s">
        <v>267</v>
      </c>
      <c r="X21" s="20"/>
      <c r="Y21" s="20"/>
      <c r="Z21" s="20"/>
      <c r="AA21" s="20"/>
    </row>
    <row r="22" spans="1:30">
      <c r="A22" t="s">
        <v>51</v>
      </c>
      <c r="B22">
        <v>0.24299999999999999</v>
      </c>
      <c r="C22">
        <v>46.1</v>
      </c>
      <c r="D22">
        <v>29.99</v>
      </c>
      <c r="E22">
        <v>0.64100000000000001</v>
      </c>
      <c r="F22">
        <v>7.0000000000000001E-3</v>
      </c>
      <c r="G22">
        <v>3.319</v>
      </c>
      <c r="H22">
        <v>23.87</v>
      </c>
      <c r="I22">
        <v>1</v>
      </c>
      <c r="J22">
        <v>1</v>
      </c>
      <c r="K22">
        <f t="shared" si="0"/>
        <v>46.561</v>
      </c>
      <c r="L22">
        <f t="shared" si="1"/>
        <v>50</v>
      </c>
      <c r="M22">
        <v>1</v>
      </c>
      <c r="N22">
        <v>10</v>
      </c>
      <c r="O22">
        <v>10</v>
      </c>
      <c r="P22">
        <v>10</v>
      </c>
      <c r="Q22">
        <v>10</v>
      </c>
      <c r="R22">
        <v>10</v>
      </c>
      <c r="T22">
        <v>3</v>
      </c>
      <c r="U22">
        <v>-5</v>
      </c>
      <c r="V22">
        <v>0.2</v>
      </c>
      <c r="W22" t="s">
        <v>51</v>
      </c>
      <c r="X22" s="20">
        <f>AVERAGE(-16.475,-17.102)</f>
        <v>-16.788499999999999</v>
      </c>
      <c r="Y22" s="20">
        <f>AVERAGE(0.641,0.658)</f>
        <v>0.64949999999999997</v>
      </c>
      <c r="Z22" s="20" t="s">
        <v>256</v>
      </c>
      <c r="AA22" s="20">
        <f>AVERAGE(25.7,26)</f>
        <v>25.85</v>
      </c>
    </row>
    <row r="23" spans="1:30">
      <c r="A23" s="17" t="s">
        <v>39</v>
      </c>
      <c r="B23" s="17">
        <v>0.18</v>
      </c>
      <c r="C23" s="17">
        <v>65.400000000000006</v>
      </c>
      <c r="D23" s="17">
        <v>23</v>
      </c>
      <c r="E23" s="17">
        <v>0.58699999999999997</v>
      </c>
      <c r="F23" s="17">
        <v>7.0000000000000001E-3</v>
      </c>
      <c r="G23" s="17">
        <v>3.05</v>
      </c>
      <c r="H23" s="17">
        <v>25.8</v>
      </c>
      <c r="I23" s="17">
        <v>1</v>
      </c>
      <c r="J23" s="17">
        <v>0</v>
      </c>
      <c r="K23" s="17">
        <f t="shared" si="0"/>
        <v>66.054000000000002</v>
      </c>
      <c r="L23">
        <f t="shared" si="1"/>
        <v>70</v>
      </c>
      <c r="M23">
        <v>1</v>
      </c>
      <c r="N23" s="17">
        <v>10</v>
      </c>
      <c r="O23" s="17">
        <v>10</v>
      </c>
      <c r="P23" s="17">
        <v>10</v>
      </c>
      <c r="Q23" s="17">
        <v>20</v>
      </c>
      <c r="R23" s="17">
        <v>20</v>
      </c>
      <c r="T23">
        <v>3</v>
      </c>
      <c r="U23">
        <v>-5</v>
      </c>
      <c r="V23">
        <v>0.2</v>
      </c>
      <c r="W23" s="17" t="s">
        <v>39</v>
      </c>
      <c r="X23" s="20">
        <f>AVERAGE(-11.963, -14.369)</f>
        <v>-13.166</v>
      </c>
      <c r="Y23" s="20">
        <f>AVERAGE(0.519, 0.646)</f>
        <v>0.58250000000000002</v>
      </c>
      <c r="Z23" s="20" t="s">
        <v>255</v>
      </c>
      <c r="AA23" s="20">
        <f>AVERAGE(23.1, 22.3)</f>
        <v>22.700000000000003</v>
      </c>
      <c r="AB23" t="s">
        <v>265</v>
      </c>
    </row>
    <row r="24" spans="1:30">
      <c r="A24" s="17" t="s">
        <v>54</v>
      </c>
      <c r="B24" s="17">
        <v>0.108</v>
      </c>
      <c r="C24" s="17">
        <v>126</v>
      </c>
      <c r="D24" s="17">
        <v>49</v>
      </c>
      <c r="E24" s="17">
        <v>0.58699999999999997</v>
      </c>
      <c r="F24" s="17">
        <v>0.02</v>
      </c>
      <c r="G24" s="17">
        <v>2.8969999999999998</v>
      </c>
      <c r="H24" s="17">
        <v>6.45</v>
      </c>
      <c r="I24" s="17">
        <v>1</v>
      </c>
      <c r="J24" s="17">
        <v>0</v>
      </c>
      <c r="K24" s="17">
        <f t="shared" si="0"/>
        <v>127.26</v>
      </c>
      <c r="L24">
        <f t="shared" si="1"/>
        <v>130</v>
      </c>
      <c r="M24">
        <v>1</v>
      </c>
      <c r="N24" s="19">
        <v>20</v>
      </c>
      <c r="O24" s="19">
        <v>20</v>
      </c>
      <c r="P24" s="19">
        <v>20</v>
      </c>
      <c r="Q24" s="19">
        <v>30</v>
      </c>
      <c r="R24" s="19">
        <v>40</v>
      </c>
      <c r="T24">
        <v>2</v>
      </c>
      <c r="U24">
        <v>-5</v>
      </c>
      <c r="V24">
        <v>0.3</v>
      </c>
      <c r="W24" s="17" t="s">
        <v>54</v>
      </c>
      <c r="X24">
        <f>AVERAGE(-9.765, -11.571)</f>
        <v>-10.667999999999999</v>
      </c>
      <c r="Y24">
        <f>AVERAGE(0.252,0.325)</f>
        <v>0.28849999999999998</v>
      </c>
      <c r="Z24" s="4" t="s">
        <v>261</v>
      </c>
      <c r="AA24">
        <f>AVERAGE(38.8, 35.6)</f>
        <v>37.200000000000003</v>
      </c>
      <c r="AB24" t="s">
        <v>259</v>
      </c>
      <c r="AD24" t="s">
        <v>260</v>
      </c>
    </row>
    <row r="25" spans="1:30">
      <c r="B25" s="40" t="s">
        <v>284</v>
      </c>
      <c r="AB25" t="s">
        <v>257</v>
      </c>
    </row>
    <row r="26" spans="1:30">
      <c r="O26" t="s">
        <v>83</v>
      </c>
      <c r="X26" s="20" t="s">
        <v>127</v>
      </c>
      <c r="Y26" s="20"/>
      <c r="Z26" s="20"/>
      <c r="AB26" t="s">
        <v>258</v>
      </c>
    </row>
    <row r="27" spans="1:30">
      <c r="O27" t="s">
        <v>77</v>
      </c>
      <c r="AB27" t="s">
        <v>262</v>
      </c>
    </row>
    <row r="28" spans="1:30">
      <c r="A28" t="s">
        <v>1</v>
      </c>
      <c r="B28" t="s">
        <v>71</v>
      </c>
      <c r="O28" t="s">
        <v>78</v>
      </c>
      <c r="P28" t="s">
        <v>79</v>
      </c>
      <c r="Q28" t="s">
        <v>80</v>
      </c>
      <c r="R28" t="s">
        <v>81</v>
      </c>
      <c r="S28" t="s">
        <v>82</v>
      </c>
    </row>
    <row r="29" spans="1:30">
      <c r="A29" t="s">
        <v>72</v>
      </c>
      <c r="B29" t="s">
        <v>35</v>
      </c>
      <c r="C29" s="15" t="s">
        <v>37</v>
      </c>
      <c r="D29" t="s">
        <v>38</v>
      </c>
      <c r="E29" s="15" t="s">
        <v>49</v>
      </c>
      <c r="F29" s="15" t="s">
        <v>268</v>
      </c>
      <c r="G29" s="15" t="s">
        <v>269</v>
      </c>
      <c r="H29" s="15" t="s">
        <v>267</v>
      </c>
      <c r="I29" t="s">
        <v>51</v>
      </c>
      <c r="J29" s="17" t="s">
        <v>39</v>
      </c>
      <c r="K29" s="17" t="s">
        <v>54</v>
      </c>
      <c r="N29" t="s">
        <v>35</v>
      </c>
      <c r="O29">
        <f>SUM(B3:C3)</f>
        <v>1.4454427299999999</v>
      </c>
      <c r="P29">
        <f>SUM(D3:E3)</f>
        <v>1.30524562</v>
      </c>
      <c r="Q29">
        <f>SUM(F3:G3)</f>
        <v>0.96704090999999992</v>
      </c>
      <c r="R29">
        <f>SUM(H3:I3)</f>
        <v>0.61244114999999999</v>
      </c>
      <c r="S29">
        <f>SUM(J3:L3)</f>
        <v>0.26904904299999999</v>
      </c>
    </row>
    <row r="30" spans="1:30">
      <c r="A30" t="s">
        <v>35</v>
      </c>
      <c r="B30">
        <v>1</v>
      </c>
      <c r="C30">
        <v>0</v>
      </c>
      <c r="D30">
        <v>0</v>
      </c>
      <c r="I30">
        <v>0</v>
      </c>
      <c r="J30" s="17">
        <v>0</v>
      </c>
      <c r="K30" s="17">
        <v>1</v>
      </c>
      <c r="N30" s="15" t="s">
        <v>37</v>
      </c>
      <c r="O30" t="e">
        <f>SUM(#REF!)</f>
        <v>#REF!</v>
      </c>
      <c r="P30" t="e">
        <f>SUM(#REF!)</f>
        <v>#REF!</v>
      </c>
      <c r="Q30" t="e">
        <f>SUM(#REF!)</f>
        <v>#REF!</v>
      </c>
      <c r="R30" t="e">
        <f>SUM(#REF!)</f>
        <v>#REF!</v>
      </c>
      <c r="S30" t="e">
        <f>SUM(#REF!)</f>
        <v>#REF!</v>
      </c>
    </row>
    <row r="31" spans="1:30">
      <c r="A31" s="15" t="s">
        <v>37</v>
      </c>
      <c r="J31" s="17"/>
      <c r="K31" s="17"/>
      <c r="N31" t="s">
        <v>38</v>
      </c>
      <c r="O31">
        <f>B5/2</f>
        <v>40.348649500000001</v>
      </c>
      <c r="P31">
        <f>B5/2</f>
        <v>40.348649500000001</v>
      </c>
      <c r="Q31">
        <f>C5</f>
        <v>85.853258999999994</v>
      </c>
      <c r="R31">
        <f>D5</f>
        <v>58.989362999999997</v>
      </c>
      <c r="S31">
        <f>E5</f>
        <v>30.434225999999999</v>
      </c>
    </row>
    <row r="32" spans="1:30">
      <c r="A32" t="s">
        <v>38</v>
      </c>
      <c r="B32">
        <v>1</v>
      </c>
      <c r="C32">
        <v>1</v>
      </c>
      <c r="D32">
        <v>0</v>
      </c>
      <c r="I32">
        <v>0</v>
      </c>
      <c r="J32" s="17">
        <v>1</v>
      </c>
      <c r="K32" s="17">
        <v>1</v>
      </c>
      <c r="N32" t="s">
        <v>49</v>
      </c>
      <c r="O32" t="e">
        <f>#REF!+#REF!</f>
        <v>#REF!</v>
      </c>
      <c r="P32" t="e">
        <f>#REF!+#REF!</f>
        <v>#REF!</v>
      </c>
      <c r="Q32" t="e">
        <f>SUM(#REF!)</f>
        <v>#REF!</v>
      </c>
      <c r="R32" t="e">
        <f>SUM(#REF!)</f>
        <v>#REF!</v>
      </c>
      <c r="S32" t="e">
        <f>SUM(#REF!)</f>
        <v>#REF!</v>
      </c>
    </row>
    <row r="33" spans="1:19">
      <c r="A33" s="15" t="s">
        <v>49</v>
      </c>
      <c r="J33" s="17"/>
      <c r="K33" s="17"/>
      <c r="N33" t="s">
        <v>268</v>
      </c>
      <c r="O33" t="e">
        <f>#REF!</f>
        <v>#REF!</v>
      </c>
      <c r="P33" t="e">
        <f>#REF!</f>
        <v>#REF!</v>
      </c>
      <c r="Q33" t="e">
        <f>SUM(#REF!)</f>
        <v>#REF!</v>
      </c>
      <c r="R33" t="e">
        <f>SUM(#REF!)</f>
        <v>#REF!</v>
      </c>
      <c r="S33" t="e">
        <f>SUM(#REF!)</f>
        <v>#REF!</v>
      </c>
    </row>
    <row r="34" spans="1:19">
      <c r="A34" s="15" t="s">
        <v>268</v>
      </c>
      <c r="J34" s="17"/>
      <c r="K34" s="17"/>
      <c r="N34" t="s">
        <v>269</v>
      </c>
      <c r="O34" t="e">
        <f>#REF!</f>
        <v>#REF!</v>
      </c>
      <c r="P34" t="e">
        <f>#REF!</f>
        <v>#REF!</v>
      </c>
      <c r="Q34" t="e">
        <f>#REF!</f>
        <v>#REF!</v>
      </c>
      <c r="R34" t="e">
        <f>#REF!</f>
        <v>#REF!</v>
      </c>
      <c r="S34" t="e">
        <f>SUM(#REF!)</f>
        <v>#REF!</v>
      </c>
    </row>
    <row r="35" spans="1:19">
      <c r="A35" s="15" t="s">
        <v>269</v>
      </c>
      <c r="J35" s="17"/>
      <c r="K35" s="17"/>
      <c r="N35" t="s">
        <v>267</v>
      </c>
      <c r="O35" t="e">
        <f>#REF!</f>
        <v>#REF!</v>
      </c>
      <c r="P35" t="e">
        <f>#REF!</f>
        <v>#REF!</v>
      </c>
      <c r="Q35" t="e">
        <f>#REF!</f>
        <v>#REF!</v>
      </c>
      <c r="R35" t="e">
        <f>#REF!</f>
        <v>#REF!</v>
      </c>
      <c r="S35" t="e">
        <f>#REF!</f>
        <v>#REF!</v>
      </c>
    </row>
    <row r="36" spans="1:19">
      <c r="A36" s="15" t="s">
        <v>267</v>
      </c>
      <c r="J36" s="17"/>
      <c r="K36" s="17"/>
      <c r="N36" t="s">
        <v>51</v>
      </c>
      <c r="O36">
        <f t="shared" ref="O36:Q37" si="2">B10</f>
        <v>5.678337</v>
      </c>
      <c r="P36">
        <f t="shared" si="2"/>
        <v>7.2383546000000001</v>
      </c>
      <c r="Q36">
        <f t="shared" si="2"/>
        <v>6.5280455999999996</v>
      </c>
      <c r="R36">
        <f>E10</f>
        <v>5.8381125999999997</v>
      </c>
      <c r="S36">
        <f>F10</f>
        <v>5.2898120999999998</v>
      </c>
    </row>
    <row r="37" spans="1:19">
      <c r="A37" t="s">
        <v>51</v>
      </c>
      <c r="B37">
        <v>1</v>
      </c>
      <c r="C37">
        <v>1</v>
      </c>
      <c r="D37">
        <v>0</v>
      </c>
      <c r="I37">
        <v>0</v>
      </c>
      <c r="J37" s="17">
        <v>1</v>
      </c>
      <c r="K37" s="17">
        <v>1</v>
      </c>
      <c r="N37" s="17" t="s">
        <v>39</v>
      </c>
      <c r="O37" s="17">
        <f t="shared" si="2"/>
        <v>4.4434731999999997</v>
      </c>
      <c r="P37" s="17">
        <f t="shared" si="2"/>
        <v>5.0468111000000002</v>
      </c>
      <c r="Q37" s="17">
        <f t="shared" si="2"/>
        <v>3.6543024000000002</v>
      </c>
      <c r="R37" s="17">
        <f>SUM(E11:F11)</f>
        <v>4.2103164</v>
      </c>
      <c r="S37" s="17">
        <f>SUM(G11:H11)</f>
        <v>1.6259108</v>
      </c>
    </row>
    <row r="38" spans="1:19">
      <c r="A38" s="17" t="s">
        <v>39</v>
      </c>
      <c r="B38" s="17">
        <v>1</v>
      </c>
      <c r="C38" s="17">
        <v>1</v>
      </c>
      <c r="D38" s="17">
        <v>0</v>
      </c>
      <c r="E38" s="17"/>
      <c r="F38" s="17"/>
      <c r="G38" s="17"/>
      <c r="H38" s="17"/>
      <c r="I38" s="17">
        <v>0</v>
      </c>
      <c r="J38" s="17">
        <v>1</v>
      </c>
      <c r="K38" s="17">
        <v>1</v>
      </c>
      <c r="N38" s="17" t="s">
        <v>54</v>
      </c>
      <c r="O38" s="17">
        <f>SUM(B12:C12)</f>
        <v>0.34628020999999998</v>
      </c>
      <c r="P38" s="17">
        <f>SUM(D12:E12)</f>
        <v>0.35235300000000003</v>
      </c>
      <c r="Q38" s="17">
        <f>SUM(F12:G12)</f>
        <v>0.29119757999999996</v>
      </c>
      <c r="R38" s="17">
        <f>SUM(H12:J12)</f>
        <v>0.30855818899999998</v>
      </c>
      <c r="S38" s="17">
        <f>SUM(K12:N12)</f>
        <v>0.13435899790000003</v>
      </c>
    </row>
    <row r="39" spans="1:19">
      <c r="A39" s="17" t="s">
        <v>54</v>
      </c>
      <c r="B39" s="17">
        <v>0</v>
      </c>
      <c r="C39" s="17">
        <v>0</v>
      </c>
      <c r="D39" s="17">
        <v>0</v>
      </c>
      <c r="E39" s="17"/>
      <c r="F39" s="17"/>
      <c r="G39" s="17"/>
      <c r="H39" s="17"/>
      <c r="I39" s="17">
        <v>0</v>
      </c>
      <c r="J39" s="17">
        <v>0</v>
      </c>
      <c r="K39" s="17">
        <v>1</v>
      </c>
    </row>
    <row r="40" spans="1:19">
      <c r="N40" t="s">
        <v>84</v>
      </c>
      <c r="O40">
        <v>3046527</v>
      </c>
      <c r="P40" t="s">
        <v>85</v>
      </c>
    </row>
    <row r="41" spans="1:19">
      <c r="B41" t="s">
        <v>100</v>
      </c>
    </row>
    <row r="42" spans="1:19">
      <c r="A42" t="s">
        <v>90</v>
      </c>
      <c r="B42" t="s">
        <v>97</v>
      </c>
      <c r="C42" t="s">
        <v>98</v>
      </c>
      <c r="D42" t="s">
        <v>99</v>
      </c>
      <c r="N42" t="s">
        <v>86</v>
      </c>
      <c r="O42" t="s">
        <v>78</v>
      </c>
      <c r="P42" t="s">
        <v>79</v>
      </c>
      <c r="Q42" t="s">
        <v>80</v>
      </c>
      <c r="R42" t="s">
        <v>81</v>
      </c>
      <c r="S42" t="s">
        <v>82</v>
      </c>
    </row>
    <row r="43" spans="1:19">
      <c r="A43" t="s">
        <v>35</v>
      </c>
      <c r="B43">
        <v>0.5</v>
      </c>
      <c r="C43">
        <v>0.5</v>
      </c>
      <c r="D43">
        <v>0</v>
      </c>
      <c r="E43">
        <v>0</v>
      </c>
      <c r="F43">
        <v>0</v>
      </c>
      <c r="G43">
        <v>1</v>
      </c>
      <c r="H43">
        <v>3</v>
      </c>
      <c r="I43" t="s">
        <v>264</v>
      </c>
      <c r="N43" t="s">
        <v>35</v>
      </c>
      <c r="O43">
        <f t="shared" ref="O43:S52" si="3">O29*$O$40</f>
        <v>4403580.3038987098</v>
      </c>
      <c r="P43">
        <f t="shared" si="3"/>
        <v>3976466.0229617399</v>
      </c>
      <c r="Q43">
        <f t="shared" si="3"/>
        <v>2946116.2424195698</v>
      </c>
      <c r="R43">
        <f t="shared" si="3"/>
        <v>1865818.49938605</v>
      </c>
      <c r="S43">
        <f t="shared" si="3"/>
        <v>819665.17382366094</v>
      </c>
    </row>
    <row r="44" spans="1:19">
      <c r="A44" s="15" t="s">
        <v>37</v>
      </c>
      <c r="N44" s="15" t="s">
        <v>37</v>
      </c>
      <c r="O44" t="e">
        <f t="shared" si="3"/>
        <v>#REF!</v>
      </c>
      <c r="P44" t="e">
        <f t="shared" si="3"/>
        <v>#REF!</v>
      </c>
      <c r="Q44" t="e">
        <f t="shared" si="3"/>
        <v>#REF!</v>
      </c>
      <c r="R44" t="e">
        <f t="shared" si="3"/>
        <v>#REF!</v>
      </c>
      <c r="S44" t="e">
        <f t="shared" si="3"/>
        <v>#REF!</v>
      </c>
    </row>
    <row r="45" spans="1:19">
      <c r="A45" t="s">
        <v>38</v>
      </c>
      <c r="B45">
        <v>3.16E-3</v>
      </c>
      <c r="C45">
        <v>5</v>
      </c>
      <c r="D45">
        <v>0</v>
      </c>
      <c r="E45">
        <v>0</v>
      </c>
      <c r="F45">
        <v>0</v>
      </c>
      <c r="G45">
        <v>1</v>
      </c>
      <c r="H45">
        <v>1</v>
      </c>
      <c r="I45" t="s">
        <v>103</v>
      </c>
      <c r="N45" t="s">
        <v>38</v>
      </c>
      <c r="O45">
        <f t="shared" si="3"/>
        <v>122923250.1152865</v>
      </c>
      <c r="P45">
        <f t="shared" si="3"/>
        <v>122923250.1152865</v>
      </c>
      <c r="Q45">
        <f t="shared" si="3"/>
        <v>261554271.58149299</v>
      </c>
      <c r="R45">
        <f t="shared" si="3"/>
        <v>179712687.09230098</v>
      </c>
      <c r="S45">
        <f t="shared" si="3"/>
        <v>92718691.233101994</v>
      </c>
    </row>
    <row r="46" spans="1:19">
      <c r="A46" t="s">
        <v>49</v>
      </c>
      <c r="N46" t="s">
        <v>49</v>
      </c>
      <c r="O46" t="e">
        <f t="shared" si="3"/>
        <v>#REF!</v>
      </c>
      <c r="P46" t="e">
        <f t="shared" si="3"/>
        <v>#REF!</v>
      </c>
      <c r="Q46" t="e">
        <f t="shared" si="3"/>
        <v>#REF!</v>
      </c>
      <c r="R46" t="e">
        <f t="shared" si="3"/>
        <v>#REF!</v>
      </c>
      <c r="S46" t="e">
        <f t="shared" si="3"/>
        <v>#REF!</v>
      </c>
    </row>
    <row r="47" spans="1:19">
      <c r="A47" t="s">
        <v>268</v>
      </c>
      <c r="N47" t="s">
        <v>268</v>
      </c>
      <c r="O47" t="e">
        <f t="shared" si="3"/>
        <v>#REF!</v>
      </c>
      <c r="P47" t="e">
        <f t="shared" si="3"/>
        <v>#REF!</v>
      </c>
      <c r="Q47" t="e">
        <f t="shared" si="3"/>
        <v>#REF!</v>
      </c>
      <c r="R47" t="e">
        <f t="shared" si="3"/>
        <v>#REF!</v>
      </c>
      <c r="S47" t="e">
        <f t="shared" si="3"/>
        <v>#REF!</v>
      </c>
    </row>
    <row r="48" spans="1:19">
      <c r="A48" t="s">
        <v>269</v>
      </c>
      <c r="C48" s="3"/>
      <c r="N48" t="s">
        <v>269</v>
      </c>
      <c r="O48" t="e">
        <f t="shared" si="3"/>
        <v>#REF!</v>
      </c>
      <c r="P48" t="e">
        <f t="shared" si="3"/>
        <v>#REF!</v>
      </c>
      <c r="Q48" t="e">
        <f t="shared" si="3"/>
        <v>#REF!</v>
      </c>
      <c r="R48" t="e">
        <f t="shared" si="3"/>
        <v>#REF!</v>
      </c>
      <c r="S48" t="e">
        <f t="shared" si="3"/>
        <v>#REF!</v>
      </c>
    </row>
    <row r="49" spans="1:19">
      <c r="A49" t="s">
        <v>267</v>
      </c>
      <c r="C49" s="3"/>
      <c r="N49" t="s">
        <v>267</v>
      </c>
      <c r="O49" t="e">
        <f t="shared" si="3"/>
        <v>#REF!</v>
      </c>
      <c r="P49" t="e">
        <f t="shared" si="3"/>
        <v>#REF!</v>
      </c>
      <c r="Q49" t="e">
        <f t="shared" si="3"/>
        <v>#REF!</v>
      </c>
      <c r="R49" t="e">
        <f t="shared" si="3"/>
        <v>#REF!</v>
      </c>
      <c r="S49" t="e">
        <f t="shared" si="3"/>
        <v>#REF!</v>
      </c>
    </row>
    <row r="50" spans="1:19">
      <c r="A50" t="s">
        <v>51</v>
      </c>
      <c r="B50">
        <v>1.0980000000000001</v>
      </c>
      <c r="C50" s="3">
        <v>3.5</v>
      </c>
      <c r="D50">
        <v>0</v>
      </c>
      <c r="E50">
        <v>1</v>
      </c>
      <c r="F50">
        <v>1</v>
      </c>
      <c r="G50">
        <v>1</v>
      </c>
      <c r="H50">
        <v>1.8</v>
      </c>
      <c r="I50" t="s">
        <v>107</v>
      </c>
      <c r="N50" t="s">
        <v>51</v>
      </c>
      <c r="O50">
        <f t="shared" si="3"/>
        <v>17299206.985599</v>
      </c>
      <c r="P50">
        <f t="shared" si="3"/>
        <v>22051842.724474199</v>
      </c>
      <c r="Q50">
        <f t="shared" si="3"/>
        <v>19887867.177631199</v>
      </c>
      <c r="R50">
        <f t="shared" si="3"/>
        <v>17785967.664940201</v>
      </c>
      <c r="S50">
        <f t="shared" si="3"/>
        <v>16115555.387576699</v>
      </c>
    </row>
    <row r="51" spans="1:19">
      <c r="A51" s="17" t="s">
        <v>39</v>
      </c>
      <c r="B51" s="17">
        <v>0.5</v>
      </c>
      <c r="C51" s="17">
        <v>3.5</v>
      </c>
      <c r="D51" s="17">
        <v>0</v>
      </c>
      <c r="E51" s="17">
        <v>0</v>
      </c>
      <c r="F51" s="17">
        <v>1</v>
      </c>
      <c r="G51" s="17">
        <v>1.5</v>
      </c>
      <c r="H51" s="17">
        <v>1.5</v>
      </c>
      <c r="I51" t="s">
        <v>266</v>
      </c>
      <c r="N51" s="17" t="s">
        <v>39</v>
      </c>
      <c r="O51" s="17">
        <f t="shared" si="3"/>
        <v>13537161.077576399</v>
      </c>
      <c r="P51" s="17">
        <f t="shared" si="3"/>
        <v>15375246.2800497</v>
      </c>
      <c r="Q51" s="17">
        <f t="shared" si="3"/>
        <v>11132930.927764801</v>
      </c>
      <c r="R51" s="17">
        <f t="shared" si="3"/>
        <v>12826842.5911428</v>
      </c>
      <c r="S51" s="17">
        <f t="shared" si="3"/>
        <v>4953381.1517915996</v>
      </c>
    </row>
    <row r="52" spans="1:19">
      <c r="A52" s="17" t="s">
        <v>54</v>
      </c>
      <c r="B52" s="17">
        <v>0.3</v>
      </c>
      <c r="C52" s="17">
        <v>3.3</v>
      </c>
      <c r="D52" s="17">
        <v>0</v>
      </c>
      <c r="E52" s="17">
        <v>0.5</v>
      </c>
      <c r="F52" s="17">
        <v>1</v>
      </c>
      <c r="G52" s="17">
        <v>1.2</v>
      </c>
      <c r="H52" s="17">
        <v>1.4</v>
      </c>
      <c r="I52" s="21" t="s">
        <v>263</v>
      </c>
      <c r="N52" s="17" t="s">
        <v>54</v>
      </c>
      <c r="O52" s="17">
        <f t="shared" si="3"/>
        <v>1054952.0093306699</v>
      </c>
      <c r="P52" s="17">
        <f t="shared" si="3"/>
        <v>1073452.9280310001</v>
      </c>
      <c r="Q52" s="17">
        <f t="shared" si="3"/>
        <v>887141.2898046599</v>
      </c>
      <c r="R52" s="17">
        <f t="shared" si="3"/>
        <v>940030.85385960294</v>
      </c>
      <c r="S52" s="17">
        <f t="shared" si="3"/>
        <v>409328.31479529338</v>
      </c>
    </row>
    <row r="54" spans="1:19">
      <c r="B54" t="s">
        <v>112</v>
      </c>
      <c r="N54" t="s">
        <v>88</v>
      </c>
    </row>
    <row r="55" spans="1:19">
      <c r="A55" t="s">
        <v>111</v>
      </c>
      <c r="B55" t="s">
        <v>113</v>
      </c>
      <c r="C55" t="s">
        <v>114</v>
      </c>
      <c r="D55" t="s">
        <v>115</v>
      </c>
      <c r="E55" t="s">
        <v>212</v>
      </c>
      <c r="F55" t="s">
        <v>213</v>
      </c>
      <c r="G55" t="s">
        <v>220</v>
      </c>
      <c r="H55" t="s">
        <v>221</v>
      </c>
      <c r="N55" t="s">
        <v>35</v>
      </c>
      <c r="O55">
        <f t="shared" ref="O55:S64" si="4">ROUND(O43,0)</f>
        <v>4403580</v>
      </c>
      <c r="P55">
        <f t="shared" si="4"/>
        <v>3976466</v>
      </c>
      <c r="Q55">
        <f t="shared" si="4"/>
        <v>2946116</v>
      </c>
      <c r="R55">
        <f t="shared" si="4"/>
        <v>1865818</v>
      </c>
      <c r="S55">
        <f t="shared" si="4"/>
        <v>819665</v>
      </c>
    </row>
    <row r="56" spans="1:19">
      <c r="A56" t="s">
        <v>35</v>
      </c>
      <c r="B56">
        <v>30</v>
      </c>
      <c r="C56">
        <v>0.8</v>
      </c>
      <c r="D56">
        <f>C56/G56</f>
        <v>2.666666666666667E-3</v>
      </c>
      <c r="E56">
        <f t="shared" ref="E56:E65" si="5">EXP($J$63-ABS($J$64*LOG(C15)))</f>
        <v>604.31755063446644</v>
      </c>
      <c r="F56">
        <f t="shared" ref="F56:F65" si="6">EXP($L$63-$L$64*LOG(G56))</f>
        <v>0.11102478681309097</v>
      </c>
      <c r="G56">
        <v>300</v>
      </c>
      <c r="H56">
        <f>B56*(G56^C56)*EXP(-D56*G56)</f>
        <v>1292.3575161975655</v>
      </c>
      <c r="I56" t="s">
        <v>125</v>
      </c>
      <c r="N56" s="15" t="s">
        <v>37</v>
      </c>
      <c r="O56" t="e">
        <f t="shared" si="4"/>
        <v>#REF!</v>
      </c>
      <c r="P56" t="e">
        <f t="shared" si="4"/>
        <v>#REF!</v>
      </c>
      <c r="Q56" t="e">
        <f t="shared" si="4"/>
        <v>#REF!</v>
      </c>
      <c r="R56" t="e">
        <f t="shared" si="4"/>
        <v>#REF!</v>
      </c>
      <c r="S56" t="e">
        <f t="shared" si="4"/>
        <v>#REF!</v>
      </c>
    </row>
    <row r="57" spans="1:19">
      <c r="A57" s="15" t="s">
        <v>37</v>
      </c>
      <c r="I57" t="s">
        <v>126</v>
      </c>
      <c r="N57" t="s">
        <v>38</v>
      </c>
      <c r="O57">
        <f t="shared" si="4"/>
        <v>122923250</v>
      </c>
      <c r="P57">
        <f t="shared" si="4"/>
        <v>122923250</v>
      </c>
      <c r="Q57">
        <f t="shared" si="4"/>
        <v>261554272</v>
      </c>
      <c r="R57">
        <f t="shared" si="4"/>
        <v>179712687</v>
      </c>
      <c r="S57">
        <f t="shared" si="4"/>
        <v>92718691</v>
      </c>
    </row>
    <row r="58" spans="1:19">
      <c r="A58" t="s">
        <v>38</v>
      </c>
      <c r="B58">
        <v>0.5</v>
      </c>
      <c r="C58">
        <v>0.5</v>
      </c>
      <c r="D58">
        <f t="shared" ref="D58:D63" si="7">C58/G58</f>
        <v>5.0000000000000002E-11</v>
      </c>
      <c r="E58">
        <f t="shared" si="5"/>
        <v>1723.3353002435774</v>
      </c>
      <c r="F58">
        <f t="shared" si="6"/>
        <v>8.8483010157636125E-5</v>
      </c>
      <c r="G58" s="1">
        <v>10000000000</v>
      </c>
      <c r="H58">
        <f t="shared" ref="H58:H65" si="8">B58*(G58^C58)*EXP(-D58*G58)</f>
        <v>30326.532985631671</v>
      </c>
      <c r="I58" t="s">
        <v>124</v>
      </c>
      <c r="N58" t="s">
        <v>49</v>
      </c>
      <c r="O58" t="e">
        <f t="shared" si="4"/>
        <v>#REF!</v>
      </c>
      <c r="P58" t="e">
        <f t="shared" si="4"/>
        <v>#REF!</v>
      </c>
      <c r="Q58" t="e">
        <f t="shared" si="4"/>
        <v>#REF!</v>
      </c>
      <c r="R58" t="e">
        <f t="shared" si="4"/>
        <v>#REF!</v>
      </c>
      <c r="S58" t="e">
        <f t="shared" si="4"/>
        <v>#REF!</v>
      </c>
    </row>
    <row r="59" spans="1:19">
      <c r="A59" t="s">
        <v>49</v>
      </c>
      <c r="B59" s="1"/>
      <c r="G59" s="1"/>
      <c r="I59" t="s">
        <v>191</v>
      </c>
      <c r="N59" t="s">
        <v>268</v>
      </c>
      <c r="O59" t="e">
        <f t="shared" si="4"/>
        <v>#REF!</v>
      </c>
      <c r="P59" t="e">
        <f t="shared" si="4"/>
        <v>#REF!</v>
      </c>
      <c r="Q59" t="e">
        <f t="shared" si="4"/>
        <v>#REF!</v>
      </c>
      <c r="R59" t="e">
        <f t="shared" si="4"/>
        <v>#REF!</v>
      </c>
      <c r="S59" t="e">
        <f t="shared" si="4"/>
        <v>#REF!</v>
      </c>
    </row>
    <row r="60" spans="1:19">
      <c r="A60" t="s">
        <v>268</v>
      </c>
      <c r="G60" s="1"/>
      <c r="I60" t="s">
        <v>123</v>
      </c>
      <c r="N60" t="s">
        <v>269</v>
      </c>
      <c r="O60" t="e">
        <f t="shared" si="4"/>
        <v>#REF!</v>
      </c>
      <c r="P60" t="e">
        <f t="shared" si="4"/>
        <v>#REF!</v>
      </c>
      <c r="Q60" t="e">
        <f t="shared" si="4"/>
        <v>#REF!</v>
      </c>
      <c r="R60" t="e">
        <f t="shared" si="4"/>
        <v>#REF!</v>
      </c>
      <c r="S60" t="e">
        <f t="shared" si="4"/>
        <v>#REF!</v>
      </c>
    </row>
    <row r="61" spans="1:19">
      <c r="A61" t="s">
        <v>269</v>
      </c>
      <c r="G61" s="1"/>
      <c r="N61" t="s">
        <v>267</v>
      </c>
      <c r="O61" t="e">
        <f t="shared" si="4"/>
        <v>#REF!</v>
      </c>
      <c r="P61" t="e">
        <f t="shared" si="4"/>
        <v>#REF!</v>
      </c>
      <c r="Q61" t="e">
        <f t="shared" si="4"/>
        <v>#REF!</v>
      </c>
      <c r="R61" t="e">
        <f t="shared" si="4"/>
        <v>#REF!</v>
      </c>
      <c r="S61" t="e">
        <f t="shared" si="4"/>
        <v>#REF!</v>
      </c>
    </row>
    <row r="62" spans="1:19">
      <c r="A62" t="s">
        <v>267</v>
      </c>
      <c r="G62" s="1"/>
      <c r="I62" t="s">
        <v>218</v>
      </c>
      <c r="N62" t="s">
        <v>51</v>
      </c>
      <c r="O62">
        <f t="shared" si="4"/>
        <v>17299207</v>
      </c>
      <c r="P62">
        <f t="shared" si="4"/>
        <v>22051843</v>
      </c>
      <c r="Q62">
        <f t="shared" si="4"/>
        <v>19887867</v>
      </c>
      <c r="R62">
        <f t="shared" si="4"/>
        <v>17785968</v>
      </c>
      <c r="S62">
        <f t="shared" si="4"/>
        <v>16115555</v>
      </c>
    </row>
    <row r="63" spans="1:19">
      <c r="A63" t="s">
        <v>51</v>
      </c>
      <c r="B63">
        <v>2.5000000000000001E-2</v>
      </c>
      <c r="C63">
        <v>0.5</v>
      </c>
      <c r="D63">
        <f t="shared" si="7"/>
        <v>1.4285714285714286E-11</v>
      </c>
      <c r="E63">
        <f t="shared" si="5"/>
        <v>1308.7336554764665</v>
      </c>
      <c r="F63">
        <f t="shared" si="6"/>
        <v>5.2816118814565449E-5</v>
      </c>
      <c r="G63" s="1">
        <v>35000000000</v>
      </c>
      <c r="H63">
        <f t="shared" si="8"/>
        <v>2836.7874040233082</v>
      </c>
      <c r="I63" t="s">
        <v>214</v>
      </c>
      <c r="J63">
        <v>11</v>
      </c>
      <c r="K63" t="s">
        <v>216</v>
      </c>
      <c r="L63">
        <v>0.15129999999999999</v>
      </c>
      <c r="N63" s="17" t="s">
        <v>39</v>
      </c>
      <c r="O63" s="17">
        <f t="shared" si="4"/>
        <v>13537161</v>
      </c>
      <c r="P63" s="17">
        <f t="shared" si="4"/>
        <v>15375246</v>
      </c>
      <c r="Q63" s="17">
        <f t="shared" si="4"/>
        <v>11132931</v>
      </c>
      <c r="R63" s="17">
        <f t="shared" si="4"/>
        <v>12826843</v>
      </c>
      <c r="S63" s="17">
        <f t="shared" si="4"/>
        <v>4953381</v>
      </c>
    </row>
    <row r="64" spans="1:19">
      <c r="A64" s="17" t="s">
        <v>39</v>
      </c>
      <c r="E64">
        <f t="shared" si="5"/>
        <v>923.15978498866718</v>
      </c>
      <c r="F64">
        <f t="shared" si="6"/>
        <v>7.4125880462059701E-2</v>
      </c>
      <c r="G64" s="1">
        <v>800</v>
      </c>
      <c r="H64">
        <f t="shared" si="8"/>
        <v>0</v>
      </c>
      <c r="I64" t="s">
        <v>215</v>
      </c>
      <c r="J64">
        <v>-2.298</v>
      </c>
      <c r="K64" t="s">
        <v>217</v>
      </c>
      <c r="L64">
        <v>0.94840000000000002</v>
      </c>
      <c r="N64" s="17" t="s">
        <v>54</v>
      </c>
      <c r="O64" s="17">
        <f t="shared" si="4"/>
        <v>1054952</v>
      </c>
      <c r="P64" s="17">
        <f t="shared" si="4"/>
        <v>1073453</v>
      </c>
      <c r="Q64" s="17">
        <f t="shared" si="4"/>
        <v>887141</v>
      </c>
      <c r="R64" s="17">
        <f t="shared" si="4"/>
        <v>940031</v>
      </c>
      <c r="S64" s="17">
        <f t="shared" si="4"/>
        <v>409328</v>
      </c>
    </row>
    <row r="65" spans="1:21">
      <c r="A65" s="17" t="s">
        <v>54</v>
      </c>
      <c r="E65">
        <f t="shared" si="5"/>
        <v>479.78998999587543</v>
      </c>
      <c r="F65">
        <f t="shared" si="6"/>
        <v>2.3500090066028229E-5</v>
      </c>
      <c r="G65" s="1">
        <v>250000000000</v>
      </c>
      <c r="H65">
        <f t="shared" si="8"/>
        <v>0</v>
      </c>
    </row>
    <row r="66" spans="1:21">
      <c r="N66" t="s">
        <v>89</v>
      </c>
      <c r="U66">
        <f>SUM(O66:S66)</f>
        <v>0</v>
      </c>
    </row>
    <row r="67" spans="1:21">
      <c r="B67" t="s">
        <v>128</v>
      </c>
      <c r="U67">
        <f t="shared" ref="U67:U75" si="9">SUM(O67:S67)</f>
        <v>0</v>
      </c>
    </row>
    <row r="68" spans="1:21">
      <c r="B68" t="s">
        <v>129</v>
      </c>
      <c r="C68" s="1" t="s">
        <v>130</v>
      </c>
      <c r="D68" s="1"/>
      <c r="E68" s="1" t="s">
        <v>134</v>
      </c>
      <c r="F68" s="1"/>
      <c r="G68" s="1"/>
      <c r="H68" s="1"/>
      <c r="I68" s="1"/>
      <c r="J68" s="1"/>
      <c r="U68">
        <f t="shared" si="9"/>
        <v>0</v>
      </c>
    </row>
    <row r="69" spans="1:21">
      <c r="A69" t="s">
        <v>35</v>
      </c>
      <c r="B69">
        <f>EXP(2.423098)</f>
        <v>11.280753009464274</v>
      </c>
      <c r="C69">
        <v>0.68818699999999999</v>
      </c>
      <c r="D69" t="s">
        <v>137</v>
      </c>
      <c r="E69">
        <v>0</v>
      </c>
      <c r="F69" t="s">
        <v>136</v>
      </c>
      <c r="U69">
        <f t="shared" si="9"/>
        <v>0</v>
      </c>
    </row>
    <row r="70" spans="1:21">
      <c r="A70" t="s">
        <v>37</v>
      </c>
      <c r="E70">
        <v>0</v>
      </c>
      <c r="F70" t="s">
        <v>132</v>
      </c>
      <c r="U70">
        <f t="shared" si="9"/>
        <v>0</v>
      </c>
    </row>
    <row r="71" spans="1:21">
      <c r="A71" t="s">
        <v>38</v>
      </c>
      <c r="B71" s="22">
        <v>12.624418694031601</v>
      </c>
      <c r="C71" s="22">
        <v>0.40738907664838098</v>
      </c>
      <c r="D71" t="s">
        <v>133</v>
      </c>
      <c r="E71" s="22">
        <v>8272</v>
      </c>
      <c r="F71" t="s">
        <v>131</v>
      </c>
      <c r="U71">
        <f t="shared" si="9"/>
        <v>0</v>
      </c>
    </row>
    <row r="72" spans="1:21">
      <c r="A72" t="s">
        <v>49</v>
      </c>
      <c r="B72" s="22">
        <v>26.418883614248202</v>
      </c>
      <c r="C72" s="22">
        <v>0.36128298319164098</v>
      </c>
      <c r="D72" t="s">
        <v>133</v>
      </c>
      <c r="E72" s="22">
        <v>21342</v>
      </c>
      <c r="F72" s="22" t="s">
        <v>285</v>
      </c>
      <c r="U72">
        <f t="shared" si="9"/>
        <v>0</v>
      </c>
    </row>
    <row r="73" spans="1:21">
      <c r="A73" t="s">
        <v>268</v>
      </c>
      <c r="B73" s="22">
        <v>26.1925218760699</v>
      </c>
      <c r="C73" s="22">
        <v>0.496773335812219</v>
      </c>
      <c r="D73" t="s">
        <v>133</v>
      </c>
      <c r="E73" s="22">
        <v>1945</v>
      </c>
      <c r="F73" s="22" t="s">
        <v>286</v>
      </c>
      <c r="U73">
        <f t="shared" si="9"/>
        <v>0</v>
      </c>
    </row>
    <row r="74" spans="1:21">
      <c r="A74" t="s">
        <v>269</v>
      </c>
      <c r="E74" s="22">
        <v>0</v>
      </c>
      <c r="U74">
        <f t="shared" si="9"/>
        <v>0</v>
      </c>
    </row>
    <row r="75" spans="1:21">
      <c r="A75" t="s">
        <v>267</v>
      </c>
      <c r="B75" s="22">
        <v>10.68929578</v>
      </c>
      <c r="C75" s="22">
        <v>0.38400990600000001</v>
      </c>
      <c r="D75" t="s">
        <v>133</v>
      </c>
      <c r="E75" s="22">
        <v>14751</v>
      </c>
      <c r="U75">
        <f t="shared" si="9"/>
        <v>0</v>
      </c>
    </row>
    <row r="76" spans="1:21">
      <c r="A76" t="s">
        <v>51</v>
      </c>
      <c r="B76" s="22">
        <v>18.967419267735501</v>
      </c>
      <c r="C76" s="22">
        <v>0.351702642528191</v>
      </c>
      <c r="D76" t="s">
        <v>133</v>
      </c>
      <c r="E76" s="22">
        <v>6114</v>
      </c>
      <c r="N76" t="s">
        <v>110</v>
      </c>
      <c r="U76" t="s">
        <v>219</v>
      </c>
    </row>
    <row r="77" spans="1:21">
      <c r="A77" s="17" t="s">
        <v>39</v>
      </c>
      <c r="B77" s="22">
        <v>11.783794029999999</v>
      </c>
      <c r="C77" s="22">
        <v>0.81805308899999996</v>
      </c>
      <c r="D77" t="s">
        <v>133</v>
      </c>
      <c r="E77" s="22">
        <v>10847</v>
      </c>
      <c r="O77">
        <f t="shared" ref="O77:S86" si="10">O66/100000</f>
        <v>0</v>
      </c>
      <c r="P77">
        <f t="shared" si="10"/>
        <v>0</v>
      </c>
      <c r="Q77">
        <f t="shared" si="10"/>
        <v>0</v>
      </c>
      <c r="R77">
        <f t="shared" si="10"/>
        <v>0</v>
      </c>
      <c r="S77">
        <f t="shared" si="10"/>
        <v>0</v>
      </c>
    </row>
    <row r="78" spans="1:21">
      <c r="A78" s="17" t="s">
        <v>54</v>
      </c>
      <c r="B78" s="22">
        <v>8.3518771555441393</v>
      </c>
      <c r="C78" s="22">
        <v>0.98018085974491698</v>
      </c>
      <c r="D78" t="s">
        <v>133</v>
      </c>
      <c r="E78" s="22">
        <v>2645</v>
      </c>
      <c r="O78">
        <f t="shared" si="10"/>
        <v>0</v>
      </c>
      <c r="P78">
        <f t="shared" si="10"/>
        <v>0</v>
      </c>
      <c r="Q78">
        <f t="shared" si="10"/>
        <v>0</v>
      </c>
      <c r="R78">
        <f t="shared" si="10"/>
        <v>0</v>
      </c>
      <c r="S78">
        <f t="shared" si="10"/>
        <v>0</v>
      </c>
    </row>
    <row r="79" spans="1:21">
      <c r="E79">
        <f>SUM(E69:E78)</f>
        <v>65916</v>
      </c>
      <c r="F79" t="s">
        <v>135</v>
      </c>
      <c r="O79">
        <f t="shared" si="10"/>
        <v>0</v>
      </c>
      <c r="P79">
        <f t="shared" si="10"/>
        <v>0</v>
      </c>
      <c r="Q79">
        <f t="shared" si="10"/>
        <v>0</v>
      </c>
      <c r="R79">
        <f t="shared" si="10"/>
        <v>0</v>
      </c>
      <c r="S79">
        <f t="shared" si="10"/>
        <v>0</v>
      </c>
    </row>
    <row r="80" spans="1:21">
      <c r="O80">
        <f t="shared" si="10"/>
        <v>0</v>
      </c>
      <c r="P80">
        <f t="shared" si="10"/>
        <v>0</v>
      </c>
      <c r="Q80">
        <f t="shared" si="10"/>
        <v>0</v>
      </c>
      <c r="R80">
        <f t="shared" si="10"/>
        <v>0</v>
      </c>
      <c r="S80">
        <f t="shared" si="10"/>
        <v>0</v>
      </c>
    </row>
    <row r="81" spans="1:19">
      <c r="O81">
        <f t="shared" si="10"/>
        <v>0</v>
      </c>
      <c r="P81">
        <f t="shared" si="10"/>
        <v>0</v>
      </c>
      <c r="Q81">
        <f t="shared" si="10"/>
        <v>0</v>
      </c>
      <c r="R81">
        <f t="shared" si="10"/>
        <v>0</v>
      </c>
      <c r="S81">
        <f t="shared" si="10"/>
        <v>0</v>
      </c>
    </row>
    <row r="82" spans="1:19">
      <c r="B82" t="s">
        <v>138</v>
      </c>
      <c r="O82">
        <f t="shared" si="10"/>
        <v>0</v>
      </c>
      <c r="P82">
        <f t="shared" si="10"/>
        <v>0</v>
      </c>
      <c r="Q82">
        <f t="shared" si="10"/>
        <v>0</v>
      </c>
      <c r="R82">
        <f t="shared" si="10"/>
        <v>0</v>
      </c>
      <c r="S82">
        <f t="shared" si="10"/>
        <v>0</v>
      </c>
    </row>
    <row r="83" spans="1:19">
      <c r="B83" t="s">
        <v>113</v>
      </c>
      <c r="C83" t="s">
        <v>115</v>
      </c>
      <c r="O83">
        <f t="shared" si="10"/>
        <v>0</v>
      </c>
      <c r="P83">
        <f t="shared" si="10"/>
        <v>0</v>
      </c>
      <c r="Q83">
        <f t="shared" si="10"/>
        <v>0</v>
      </c>
      <c r="R83">
        <f t="shared" si="10"/>
        <v>0</v>
      </c>
      <c r="S83">
        <f t="shared" si="10"/>
        <v>0</v>
      </c>
    </row>
    <row r="84" spans="1:19">
      <c r="A84" t="s">
        <v>35</v>
      </c>
      <c r="B84">
        <v>2E-3</v>
      </c>
      <c r="C84">
        <v>0.11</v>
      </c>
      <c r="E84" t="s">
        <v>139</v>
      </c>
      <c r="O84">
        <f t="shared" si="10"/>
        <v>0</v>
      </c>
      <c r="P84">
        <f t="shared" si="10"/>
        <v>0</v>
      </c>
      <c r="Q84">
        <f t="shared" si="10"/>
        <v>0</v>
      </c>
      <c r="R84">
        <f t="shared" si="10"/>
        <v>0</v>
      </c>
      <c r="S84">
        <f t="shared" si="10"/>
        <v>0</v>
      </c>
    </row>
    <row r="85" spans="1:19">
      <c r="A85" t="s">
        <v>37</v>
      </c>
      <c r="B85">
        <v>2E-3</v>
      </c>
      <c r="C85">
        <v>0.11</v>
      </c>
      <c r="O85">
        <f t="shared" si="10"/>
        <v>0</v>
      </c>
      <c r="P85">
        <f t="shared" si="10"/>
        <v>0</v>
      </c>
      <c r="Q85">
        <f t="shared" si="10"/>
        <v>0</v>
      </c>
      <c r="R85">
        <f t="shared" si="10"/>
        <v>0</v>
      </c>
      <c r="S85">
        <f t="shared" si="10"/>
        <v>0</v>
      </c>
    </row>
    <row r="86" spans="1:19">
      <c r="A86" t="s">
        <v>38</v>
      </c>
      <c r="B86">
        <v>4.0000000000000001E-3</v>
      </c>
      <c r="C86">
        <v>0.11</v>
      </c>
      <c r="E86" t="s">
        <v>140</v>
      </c>
      <c r="O86">
        <f t="shared" si="10"/>
        <v>0</v>
      </c>
      <c r="P86">
        <f t="shared" si="10"/>
        <v>0</v>
      </c>
      <c r="Q86">
        <f t="shared" si="10"/>
        <v>0</v>
      </c>
      <c r="R86">
        <f t="shared" si="10"/>
        <v>0</v>
      </c>
      <c r="S86">
        <f t="shared" si="10"/>
        <v>0</v>
      </c>
    </row>
    <row r="87" spans="1:19">
      <c r="A87" t="s">
        <v>49</v>
      </c>
      <c r="B87">
        <v>4.0000000000000001E-3</v>
      </c>
      <c r="C87">
        <v>0.11</v>
      </c>
      <c r="E87" t="s">
        <v>141</v>
      </c>
    </row>
    <row r="88" spans="1:19">
      <c r="A88" t="s">
        <v>268</v>
      </c>
      <c r="B88">
        <v>4.0000000000000001E-3</v>
      </c>
      <c r="C88">
        <v>0.11</v>
      </c>
      <c r="E88" t="s">
        <v>142</v>
      </c>
    </row>
    <row r="89" spans="1:19">
      <c r="A89" t="s">
        <v>269</v>
      </c>
      <c r="B89">
        <v>4.0000000000000001E-3</v>
      </c>
      <c r="C89">
        <v>0.11</v>
      </c>
      <c r="E89" t="s">
        <v>143</v>
      </c>
    </row>
    <row r="90" spans="1:19">
      <c r="A90" t="s">
        <v>267</v>
      </c>
      <c r="B90">
        <v>4.0000000000000001E-3</v>
      </c>
      <c r="C90">
        <v>0.11</v>
      </c>
    </row>
    <row r="91" spans="1:19">
      <c r="A91" t="s">
        <v>51</v>
      </c>
      <c r="B91">
        <v>4.0000000000000001E-3</v>
      </c>
      <c r="C91">
        <v>0.11</v>
      </c>
    </row>
    <row r="92" spans="1:19">
      <c r="A92" s="17" t="s">
        <v>39</v>
      </c>
      <c r="B92">
        <v>4.0000000000000001E-3</v>
      </c>
      <c r="C92">
        <v>0.11</v>
      </c>
    </row>
    <row r="93" spans="1:19">
      <c r="A93" s="17" t="s">
        <v>54</v>
      </c>
      <c r="B93">
        <v>4.0000000000000001E-3</v>
      </c>
      <c r="C93">
        <v>0.11</v>
      </c>
    </row>
    <row r="96" spans="1:19">
      <c r="B96" t="s">
        <v>144</v>
      </c>
    </row>
    <row r="97" spans="1:14">
      <c r="A97" s="5" t="s">
        <v>165</v>
      </c>
      <c r="B97" t="s">
        <v>145</v>
      </c>
      <c r="C97" t="s">
        <v>146</v>
      </c>
      <c r="D97" t="s">
        <v>153</v>
      </c>
      <c r="E97" t="s">
        <v>154</v>
      </c>
      <c r="F97" t="s">
        <v>155</v>
      </c>
      <c r="G97" t="s">
        <v>170</v>
      </c>
      <c r="H97" t="s">
        <v>168</v>
      </c>
      <c r="J97" t="s">
        <v>147</v>
      </c>
    </row>
    <row r="98" spans="1:14">
      <c r="A98" t="s">
        <v>35</v>
      </c>
      <c r="B98">
        <v>-12.903000000000002</v>
      </c>
      <c r="C98">
        <v>0.25</v>
      </c>
      <c r="G98" t="s">
        <v>171</v>
      </c>
      <c r="H98">
        <f>B98/-C98</f>
        <v>51.612000000000009</v>
      </c>
      <c r="J98" t="s">
        <v>159</v>
      </c>
    </row>
    <row r="99" spans="1:14">
      <c r="A99" t="s">
        <v>37</v>
      </c>
      <c r="F99" s="1"/>
      <c r="G99" t="s">
        <v>137</v>
      </c>
      <c r="H99" t="e">
        <f>B99/-C99</f>
        <v>#DIV/0!</v>
      </c>
      <c r="J99" t="s">
        <v>148</v>
      </c>
    </row>
    <row r="100" spans="1:14">
      <c r="A100" t="s">
        <v>38</v>
      </c>
      <c r="B100">
        <v>-4</v>
      </c>
      <c r="C100">
        <v>0.25</v>
      </c>
      <c r="G100" t="s">
        <v>137</v>
      </c>
      <c r="H100">
        <f>B100/-C100</f>
        <v>16</v>
      </c>
      <c r="J100" t="s">
        <v>149</v>
      </c>
    </row>
    <row r="101" spans="1:14">
      <c r="A101" t="s">
        <v>49</v>
      </c>
      <c r="J101" t="s">
        <v>150</v>
      </c>
    </row>
    <row r="102" spans="1:14">
      <c r="A102" t="s">
        <v>268</v>
      </c>
      <c r="J102" t="s">
        <v>161</v>
      </c>
    </row>
    <row r="103" spans="1:14">
      <c r="A103" t="s">
        <v>269</v>
      </c>
      <c r="J103" t="s">
        <v>151</v>
      </c>
    </row>
    <row r="104" spans="1:14">
      <c r="A104" t="s">
        <v>267</v>
      </c>
      <c r="J104" t="s">
        <v>152</v>
      </c>
    </row>
    <row r="105" spans="1:14">
      <c r="A105" t="s">
        <v>51</v>
      </c>
      <c r="B105">
        <v>-5</v>
      </c>
      <c r="C105">
        <v>0.25</v>
      </c>
      <c r="G105" t="s">
        <v>137</v>
      </c>
      <c r="H105">
        <f t="shared" ref="H105" si="11">B105/-C105</f>
        <v>20</v>
      </c>
      <c r="J105" t="s">
        <v>160</v>
      </c>
    </row>
    <row r="106" spans="1:14">
      <c r="A106" s="17" t="s">
        <v>39</v>
      </c>
    </row>
    <row r="107" spans="1:14">
      <c r="A107" s="17" t="s">
        <v>54</v>
      </c>
    </row>
    <row r="108" spans="1:14">
      <c r="J108" t="s">
        <v>167</v>
      </c>
    </row>
    <row r="109" spans="1:14">
      <c r="A109" s="5" t="s">
        <v>166</v>
      </c>
      <c r="B109" t="s">
        <v>145</v>
      </c>
      <c r="C109" t="s">
        <v>146</v>
      </c>
      <c r="D109" t="s">
        <v>153</v>
      </c>
      <c r="E109" t="s">
        <v>154</v>
      </c>
      <c r="F109" t="s">
        <v>162</v>
      </c>
      <c r="H109" t="s">
        <v>168</v>
      </c>
      <c r="J109" t="s">
        <v>169</v>
      </c>
    </row>
    <row r="110" spans="1:14">
      <c r="A110" t="s">
        <v>35</v>
      </c>
      <c r="B110">
        <v>-12.064800000000002</v>
      </c>
      <c r="C110">
        <v>0.22</v>
      </c>
      <c r="G110" t="s">
        <v>171</v>
      </c>
      <c r="H110">
        <f>B110/-C110</f>
        <v>54.840000000000011</v>
      </c>
      <c r="N110" s="1"/>
    </row>
    <row r="111" spans="1:14">
      <c r="A111" t="s">
        <v>37</v>
      </c>
      <c r="B111">
        <v>-10</v>
      </c>
      <c r="C111">
        <v>0.25</v>
      </c>
      <c r="G111" t="s">
        <v>137</v>
      </c>
      <c r="H111">
        <f>B111/-C111</f>
        <v>40</v>
      </c>
    </row>
    <row r="112" spans="1:14">
      <c r="A112" t="s">
        <v>38</v>
      </c>
      <c r="B112">
        <v>-200</v>
      </c>
      <c r="C112">
        <v>1</v>
      </c>
      <c r="G112" t="s">
        <v>163</v>
      </c>
      <c r="H112">
        <f>B112/-C112</f>
        <v>200</v>
      </c>
    </row>
    <row r="113" spans="1:8">
      <c r="A113" t="s">
        <v>49</v>
      </c>
      <c r="B113">
        <f>-C113*E113*F113</f>
        <v>-12.064800000000002</v>
      </c>
      <c r="C113">
        <f>D113</f>
        <v>0.22</v>
      </c>
      <c r="D113">
        <v>0.22</v>
      </c>
      <c r="E113">
        <v>4.57</v>
      </c>
      <c r="F113">
        <f>AVERAGE(14,12,10)</f>
        <v>12</v>
      </c>
      <c r="G113" t="s">
        <v>164</v>
      </c>
      <c r="H113">
        <f>B113/-C113</f>
        <v>54.840000000000011</v>
      </c>
    </row>
    <row r="114" spans="1:8">
      <c r="A114" t="s">
        <v>268</v>
      </c>
      <c r="B114">
        <v>-10</v>
      </c>
      <c r="C114">
        <v>0.25</v>
      </c>
      <c r="G114" t="s">
        <v>137</v>
      </c>
      <c r="H114">
        <f t="shared" ref="H114:H117" si="12">B114/-C114</f>
        <v>40</v>
      </c>
    </row>
    <row r="115" spans="1:8">
      <c r="A115" t="s">
        <v>269</v>
      </c>
      <c r="B115">
        <v>-200</v>
      </c>
      <c r="C115">
        <v>1</v>
      </c>
      <c r="G115" t="s">
        <v>163</v>
      </c>
      <c r="H115">
        <f t="shared" si="12"/>
        <v>200</v>
      </c>
    </row>
    <row r="116" spans="1:8">
      <c r="A116" t="s">
        <v>267</v>
      </c>
      <c r="B116">
        <v>-200</v>
      </c>
      <c r="C116">
        <v>1</v>
      </c>
      <c r="G116" t="s">
        <v>163</v>
      </c>
      <c r="H116">
        <f t="shared" si="12"/>
        <v>200</v>
      </c>
    </row>
    <row r="117" spans="1:8">
      <c r="A117" t="s">
        <v>51</v>
      </c>
      <c r="B117">
        <v>-200</v>
      </c>
      <c r="C117">
        <v>1</v>
      </c>
      <c r="G117" t="s">
        <v>163</v>
      </c>
      <c r="H117">
        <f t="shared" si="12"/>
        <v>200</v>
      </c>
    </row>
    <row r="118" spans="1:8">
      <c r="A118" s="17" t="s">
        <v>39</v>
      </c>
    </row>
    <row r="119" spans="1:8">
      <c r="A119" s="17" t="s">
        <v>54</v>
      </c>
    </row>
    <row r="121" spans="1:8">
      <c r="A121" t="s">
        <v>176</v>
      </c>
    </row>
    <row r="122" spans="1:8">
      <c r="B122" t="s">
        <v>172</v>
      </c>
      <c r="C122" t="s">
        <v>173</v>
      </c>
      <c r="E122" t="s">
        <v>174</v>
      </c>
      <c r="F122" t="s">
        <v>175</v>
      </c>
    </row>
    <row r="123" spans="1:8">
      <c r="B123">
        <v>-12.903000000000002</v>
      </c>
      <c r="C123">
        <v>-12.064800000000002</v>
      </c>
      <c r="E123">
        <v>0.25</v>
      </c>
      <c r="F123">
        <v>0.22</v>
      </c>
    </row>
    <row r="125" spans="1:8">
      <c r="B125">
        <v>-4</v>
      </c>
      <c r="C125">
        <v>-200</v>
      </c>
      <c r="E125">
        <v>0.25</v>
      </c>
      <c r="F125">
        <v>1</v>
      </c>
    </row>
    <row r="130" spans="2:6">
      <c r="B130">
        <v>-5</v>
      </c>
      <c r="C130">
        <v>-200</v>
      </c>
      <c r="E130">
        <v>0.25</v>
      </c>
      <c r="F130">
        <v>1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6"/>
  <sheetViews>
    <sheetView workbookViewId="0">
      <selection activeCell="J1" sqref="J1:K3"/>
    </sheetView>
  </sheetViews>
  <sheetFormatPr baseColWidth="10" defaultColWidth="8.83203125" defaultRowHeight="14" x14ac:dyDescent="0"/>
  <sheetData>
    <row r="1" spans="1:75">
      <c r="B1" t="s">
        <v>35</v>
      </c>
      <c r="C1" t="s">
        <v>36</v>
      </c>
      <c r="D1" t="s">
        <v>38</v>
      </c>
      <c r="E1" t="s">
        <v>40</v>
      </c>
      <c r="F1" t="s">
        <v>41</v>
      </c>
      <c r="G1" t="s">
        <v>47</v>
      </c>
      <c r="H1" t="s">
        <v>45</v>
      </c>
      <c r="I1" t="s">
        <v>51</v>
      </c>
      <c r="J1" t="s">
        <v>39</v>
      </c>
      <c r="K1" t="s">
        <v>54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75">
      <c r="A2" s="5" t="s">
        <v>190</v>
      </c>
      <c r="B2" s="7" t="s">
        <v>186</v>
      </c>
      <c r="C2" s="7" t="s">
        <v>187</v>
      </c>
      <c r="D2" s="7" t="s">
        <v>179</v>
      </c>
      <c r="E2" s="7" t="s">
        <v>182</v>
      </c>
      <c r="F2" s="7" t="s">
        <v>184</v>
      </c>
      <c r="G2" s="7" t="s">
        <v>185</v>
      </c>
      <c r="H2" s="7" t="s">
        <v>180</v>
      </c>
      <c r="I2" s="7" t="s">
        <v>178</v>
      </c>
      <c r="J2" s="7" t="s">
        <v>272</v>
      </c>
      <c r="K2" s="7" t="s">
        <v>274</v>
      </c>
      <c r="M2" s="12" t="s">
        <v>222</v>
      </c>
      <c r="N2" s="3"/>
      <c r="R2" s="1"/>
      <c r="S2" s="1"/>
      <c r="T2" s="1"/>
      <c r="U2" s="26" t="s">
        <v>275</v>
      </c>
      <c r="V2" s="1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7"/>
      <c r="AK2" s="7"/>
      <c r="AL2" s="7"/>
      <c r="AM2" s="7"/>
    </row>
    <row r="3" spans="1:75">
      <c r="A3" s="6" t="s">
        <v>177</v>
      </c>
      <c r="B3" s="7" t="s">
        <v>200</v>
      </c>
      <c r="C3" s="7" t="s">
        <v>201</v>
      </c>
      <c r="D3" s="7" t="s">
        <v>193</v>
      </c>
      <c r="E3" s="7" t="s">
        <v>196</v>
      </c>
      <c r="F3" s="7" t="s">
        <v>198</v>
      </c>
      <c r="G3" s="7" t="s">
        <v>199</v>
      </c>
      <c r="H3" s="7" t="s">
        <v>194</v>
      </c>
      <c r="I3" s="7" t="s">
        <v>192</v>
      </c>
      <c r="J3" s="23" t="s">
        <v>271</v>
      </c>
      <c r="K3" s="23" t="s">
        <v>273</v>
      </c>
      <c r="L3" s="23"/>
      <c r="M3" t="s">
        <v>35</v>
      </c>
      <c r="N3" t="s">
        <v>36</v>
      </c>
      <c r="O3" t="s">
        <v>38</v>
      </c>
      <c r="P3" t="s">
        <v>40</v>
      </c>
      <c r="Q3" t="s">
        <v>41</v>
      </c>
      <c r="R3" t="s">
        <v>47</v>
      </c>
      <c r="S3" t="s">
        <v>45</v>
      </c>
      <c r="T3" t="s">
        <v>51</v>
      </c>
      <c r="U3" t="s">
        <v>39</v>
      </c>
      <c r="V3" t="s">
        <v>54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7"/>
      <c r="AK3" s="7"/>
      <c r="AL3" s="7"/>
      <c r="AM3" s="7"/>
    </row>
    <row r="4" spans="1:75">
      <c r="A4" s="8">
        <v>1964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23">
        <v>1</v>
      </c>
      <c r="K4" s="23">
        <v>1</v>
      </c>
      <c r="L4" s="23"/>
      <c r="M4" s="3">
        <v>322944</v>
      </c>
      <c r="N4" s="13">
        <v>9413770</v>
      </c>
      <c r="O4" s="13">
        <v>2994860</v>
      </c>
      <c r="P4" s="13">
        <v>2778160</v>
      </c>
      <c r="Q4" s="13">
        <v>15591200</v>
      </c>
      <c r="R4" s="13">
        <v>4914660</v>
      </c>
      <c r="S4" s="13">
        <v>1363490</v>
      </c>
      <c r="T4" s="13">
        <v>2136940</v>
      </c>
      <c r="U4" s="24">
        <v>5000000</v>
      </c>
      <c r="V4" s="25">
        <v>500000</v>
      </c>
      <c r="W4" s="10"/>
      <c r="X4" s="10">
        <v>322944</v>
      </c>
      <c r="Y4" s="10">
        <v>318582.964224</v>
      </c>
      <c r="Z4" s="10">
        <v>313505.31571200001</v>
      </c>
      <c r="AA4" s="10">
        <v>311187.22368</v>
      </c>
      <c r="AB4" s="10">
        <v>313237.272192</v>
      </c>
      <c r="AC4" s="10">
        <v>321777.20332800003</v>
      </c>
      <c r="AD4" s="10">
        <v>335764.230912</v>
      </c>
      <c r="AE4" s="10">
        <v>355575.23059200001</v>
      </c>
      <c r="AF4" s="10">
        <v>391881.24096000002</v>
      </c>
      <c r="AG4" s="10">
        <v>420356.82815999998</v>
      </c>
      <c r="AH4" s="10">
        <v>453098.18265600002</v>
      </c>
      <c r="AI4" s="10">
        <v>489544.35071999999</v>
      </c>
      <c r="AJ4" s="7">
        <v>526790.45107199997</v>
      </c>
      <c r="AK4" s="7">
        <v>564224.18188799999</v>
      </c>
      <c r="AL4" s="7">
        <v>603763.18463999999</v>
      </c>
      <c r="AM4" s="7">
        <v>644112.13094399997</v>
      </c>
      <c r="AN4">
        <v>685405.04255999997</v>
      </c>
      <c r="AO4">
        <v>717264.43699199997</v>
      </c>
      <c r="AP4">
        <v>744810.26841599995</v>
      </c>
      <c r="AQ4">
        <v>767269.73183999991</v>
      </c>
      <c r="AR4">
        <v>789731.13292800006</v>
      </c>
      <c r="AS4">
        <v>979954.83724799997</v>
      </c>
      <c r="AT4">
        <v>985479.76320000004</v>
      </c>
      <c r="AU4">
        <v>1000515.389952</v>
      </c>
      <c r="AV4">
        <v>1023820.643712</v>
      </c>
      <c r="AW4">
        <v>1049917.4254079999</v>
      </c>
      <c r="AX4">
        <v>1078689.4752</v>
      </c>
      <c r="AY4">
        <v>1224782.8819200001</v>
      </c>
      <c r="AZ4">
        <v>1201531.2368640001</v>
      </c>
      <c r="BA4">
        <v>1187721.1825919999</v>
      </c>
      <c r="BB4">
        <v>1173335.965056</v>
      </c>
      <c r="BC4">
        <v>1164290.9495039999</v>
      </c>
      <c r="BD4">
        <v>1156423.7107200001</v>
      </c>
      <c r="BE4">
        <v>1203591.619584</v>
      </c>
      <c r="BF4">
        <v>1187939.4927360001</v>
      </c>
      <c r="BG4">
        <v>1174918.7135999999</v>
      </c>
      <c r="BH4">
        <v>1164941.3587199999</v>
      </c>
      <c r="BI4">
        <v>1200004.6805759999</v>
      </c>
      <c r="BJ4">
        <v>1189195.4219519999</v>
      </c>
      <c r="BK4">
        <v>1184021.859072</v>
      </c>
      <c r="BL4">
        <v>1294204.8618239998</v>
      </c>
      <c r="BM4">
        <v>1256708.156928</v>
      </c>
      <c r="BN4">
        <v>1225214.3351040001</v>
      </c>
      <c r="BO4">
        <v>1195731.485568</v>
      </c>
      <c r="BP4">
        <v>1168301.268096</v>
      </c>
      <c r="BQ4">
        <v>1144856.8254720001</v>
      </c>
      <c r="BR4">
        <v>1123438.21056</v>
      </c>
      <c r="BS4">
        <v>1104724.897536</v>
      </c>
      <c r="BT4">
        <v>1093997.0208000001</v>
      </c>
      <c r="BU4">
        <v>1076095.911936</v>
      </c>
      <c r="BV4">
        <v>1134127.9799039999</v>
      </c>
      <c r="BW4">
        <v>1138306.2293760001</v>
      </c>
    </row>
    <row r="5" spans="1:75">
      <c r="A5" s="8">
        <v>1965</v>
      </c>
      <c r="B5" s="7">
        <v>0.98649600000000004</v>
      </c>
      <c r="C5" s="7">
        <v>1.3071660000000001</v>
      </c>
      <c r="D5" s="7">
        <v>0.86966699999999997</v>
      </c>
      <c r="E5" s="7">
        <v>0.99479200000000001</v>
      </c>
      <c r="F5" s="7">
        <v>0.54168899999999998</v>
      </c>
      <c r="G5" s="7">
        <v>0.72628000000000004</v>
      </c>
      <c r="H5" s="7">
        <v>1.0430809999999999</v>
      </c>
      <c r="I5" s="7">
        <v>1.2448889999999999</v>
      </c>
      <c r="J5" s="23">
        <v>1.0528919999999999</v>
      </c>
      <c r="K5" s="23">
        <v>1.0663739999999999</v>
      </c>
      <c r="L5" s="23"/>
      <c r="M5">
        <f>B5*M$4</f>
        <v>318582.964224</v>
      </c>
      <c r="N5">
        <f t="shared" ref="N5:V20" si="0">C5*N$4</f>
        <v>12305360.075820001</v>
      </c>
      <c r="O5">
        <f t="shared" si="0"/>
        <v>2604530.9116199999</v>
      </c>
      <c r="P5">
        <f t="shared" si="0"/>
        <v>2763691.3427200001</v>
      </c>
      <c r="Q5">
        <f t="shared" si="0"/>
        <v>8445581.536799999</v>
      </c>
      <c r="R5">
        <f t="shared" si="0"/>
        <v>3569419.2648</v>
      </c>
      <c r="S5">
        <f t="shared" si="0"/>
        <v>1422230.51269</v>
      </c>
      <c r="T5">
        <f t="shared" si="0"/>
        <v>2660253.0996599998</v>
      </c>
      <c r="U5">
        <f t="shared" si="0"/>
        <v>5264460</v>
      </c>
      <c r="V5">
        <f t="shared" si="0"/>
        <v>533187</v>
      </c>
      <c r="W5" s="10"/>
      <c r="X5" s="10">
        <v>9413770</v>
      </c>
      <c r="Y5" s="10">
        <v>12305360.075820001</v>
      </c>
      <c r="Z5" s="10">
        <v>14523526.700920001</v>
      </c>
      <c r="AA5" s="10">
        <v>16346230.262090001</v>
      </c>
      <c r="AB5" s="10">
        <v>17538088.854249999</v>
      </c>
      <c r="AC5" s="10">
        <v>18730474.617529999</v>
      </c>
      <c r="AD5" s="10">
        <v>19930617.327289999</v>
      </c>
      <c r="AE5" s="10">
        <v>20381856.978470001</v>
      </c>
      <c r="AF5" s="10">
        <v>21123266.676130001</v>
      </c>
      <c r="AG5" s="10">
        <v>21908064.439720001</v>
      </c>
      <c r="AH5" s="10">
        <v>21841160.776330002</v>
      </c>
      <c r="AI5" s="10">
        <v>22158913.16891</v>
      </c>
      <c r="AJ5" s="7">
        <v>22389484.637519997</v>
      </c>
      <c r="AK5" s="7">
        <v>21541868.78672</v>
      </c>
      <c r="AL5" s="7">
        <v>21308407.290720001</v>
      </c>
      <c r="AM5" s="7">
        <v>21106745.509780001</v>
      </c>
      <c r="AN5">
        <v>19753412.520810001</v>
      </c>
      <c r="AO5">
        <v>19068476.029379997</v>
      </c>
      <c r="AP5">
        <v>18336451.860410001</v>
      </c>
      <c r="AQ5">
        <v>16946254.548119999</v>
      </c>
      <c r="AR5">
        <v>16085421.76424</v>
      </c>
      <c r="AS5">
        <v>15539140.69114</v>
      </c>
      <c r="AT5">
        <v>14373546.517279999</v>
      </c>
      <c r="AU5">
        <v>13589341.8212</v>
      </c>
      <c r="AV5">
        <v>12868604.762459999</v>
      </c>
      <c r="AW5">
        <v>12205122.25286</v>
      </c>
      <c r="AX5">
        <v>11590939.656749999</v>
      </c>
      <c r="AY5">
        <v>11095728.2859</v>
      </c>
      <c r="AZ5">
        <v>10650485.20621</v>
      </c>
      <c r="BA5">
        <v>10228070.51877</v>
      </c>
      <c r="BB5">
        <v>9914450.7712200005</v>
      </c>
      <c r="BC5">
        <v>9593714.2135499995</v>
      </c>
      <c r="BD5">
        <v>9226765.4589499999</v>
      </c>
      <c r="BE5">
        <v>8993661.6862100009</v>
      </c>
      <c r="BF5">
        <v>8695970.0374999996</v>
      </c>
      <c r="BG5">
        <v>8469437.0762200002</v>
      </c>
      <c r="BH5">
        <v>8215500.6304700002</v>
      </c>
      <c r="BI5">
        <v>8037542.7223899998</v>
      </c>
      <c r="BJ5">
        <v>7923579.6227700002</v>
      </c>
      <c r="BK5">
        <v>7859274.1599000003</v>
      </c>
      <c r="BL5">
        <v>7793980.2511799997</v>
      </c>
      <c r="BM5">
        <v>7766567.3529400006</v>
      </c>
      <c r="BN5">
        <v>7730183.1318899998</v>
      </c>
      <c r="BO5">
        <v>7673258.0647</v>
      </c>
      <c r="BP5">
        <v>7680214.8407300003</v>
      </c>
      <c r="BQ5">
        <v>7663712.5019200006</v>
      </c>
      <c r="BR5">
        <v>7639406.1477799993</v>
      </c>
      <c r="BS5">
        <v>7647605.5414500004</v>
      </c>
      <c r="BT5">
        <v>7695455.7343600001</v>
      </c>
      <c r="BU5">
        <v>7708465.5644999994</v>
      </c>
      <c r="BV5">
        <v>7723009.8391499994</v>
      </c>
      <c r="BW5">
        <v>7760928.50471</v>
      </c>
    </row>
    <row r="6" spans="1:75">
      <c r="A6" s="8">
        <v>1966</v>
      </c>
      <c r="B6" s="7">
        <v>0.970773</v>
      </c>
      <c r="C6" s="7">
        <v>1.5427960000000001</v>
      </c>
      <c r="D6" s="7">
        <v>0.71513899999999997</v>
      </c>
      <c r="E6" s="7">
        <v>1.018937</v>
      </c>
      <c r="F6" s="7">
        <v>0.44150800000000001</v>
      </c>
      <c r="G6" s="7">
        <v>0.75197000000000003</v>
      </c>
      <c r="H6" s="7">
        <v>0.93827099999999997</v>
      </c>
      <c r="I6" s="7">
        <v>0.97485699999999997</v>
      </c>
      <c r="J6" s="23">
        <v>1.0055080000000001</v>
      </c>
      <c r="K6" s="23">
        <v>1.255846</v>
      </c>
      <c r="L6" s="23"/>
      <c r="M6">
        <f t="shared" ref="M6:V44" si="1">B6*M$4</f>
        <v>313505.31571200001</v>
      </c>
      <c r="N6">
        <f t="shared" si="0"/>
        <v>14523526.700920001</v>
      </c>
      <c r="O6">
        <f t="shared" si="0"/>
        <v>2141741.18554</v>
      </c>
      <c r="P6">
        <f t="shared" si="0"/>
        <v>2830770.0159200002</v>
      </c>
      <c r="Q6">
        <f t="shared" si="0"/>
        <v>6883639.5296</v>
      </c>
      <c r="R6">
        <f t="shared" si="0"/>
        <v>3695676.8802</v>
      </c>
      <c r="S6">
        <f t="shared" si="0"/>
        <v>1279323.12579</v>
      </c>
      <c r="T6">
        <f t="shared" si="0"/>
        <v>2083210.9175799999</v>
      </c>
      <c r="U6">
        <f t="shared" si="0"/>
        <v>5027540</v>
      </c>
      <c r="V6">
        <f t="shared" si="0"/>
        <v>627923</v>
      </c>
      <c r="W6" s="10"/>
      <c r="X6" s="10">
        <v>2994860</v>
      </c>
      <c r="Y6" s="10">
        <v>2604530.9116199999</v>
      </c>
      <c r="Z6" s="10">
        <v>2141741.18554</v>
      </c>
      <c r="AA6" s="10">
        <v>1696510.3236400001</v>
      </c>
      <c r="AB6" s="10">
        <v>1316184.0676599999</v>
      </c>
      <c r="AC6" s="10">
        <v>1020148.14638</v>
      </c>
      <c r="AD6" s="10">
        <v>796743.56982000009</v>
      </c>
      <c r="AE6" s="10">
        <v>668707.31510000001</v>
      </c>
      <c r="AF6" s="10">
        <v>542216.40813999996</v>
      </c>
      <c r="AG6" s="10">
        <v>473550.25806000002</v>
      </c>
      <c r="AH6" s="10">
        <v>448896.57053999999</v>
      </c>
      <c r="AI6" s="10">
        <v>493717.64530000003</v>
      </c>
      <c r="AJ6" s="7">
        <v>397879.13043999998</v>
      </c>
      <c r="AK6" s="7">
        <v>340716.23761999997</v>
      </c>
      <c r="AL6" s="7">
        <v>668887.00669999991</v>
      </c>
      <c r="AM6" s="7">
        <v>1043678.7614000001</v>
      </c>
      <c r="AN6">
        <v>1353107.6965999999</v>
      </c>
      <c r="AO6">
        <v>1528923.9477599999</v>
      </c>
      <c r="AP6">
        <v>1662839.1126600001</v>
      </c>
      <c r="AQ6">
        <v>2168901.57088</v>
      </c>
      <c r="AR6">
        <v>2146757.5760399997</v>
      </c>
      <c r="AS6">
        <v>2110259.21722</v>
      </c>
      <c r="AT6">
        <v>2066905.6238599999</v>
      </c>
      <c r="AU6">
        <v>1997122.3910000001</v>
      </c>
      <c r="AV6">
        <v>1918926.5963999999</v>
      </c>
      <c r="AW6">
        <v>1844719.95532</v>
      </c>
      <c r="AX6">
        <v>1774274.8583999998</v>
      </c>
      <c r="AY6">
        <v>1854537.1063999999</v>
      </c>
      <c r="AZ6">
        <v>1770558.2371400001</v>
      </c>
      <c r="BA6">
        <v>1704440.7129200001</v>
      </c>
      <c r="BB6">
        <v>2202171.4706199998</v>
      </c>
      <c r="BC6">
        <v>2420113.4225399997</v>
      </c>
      <c r="BD6">
        <v>2192195.5919599999</v>
      </c>
      <c r="BE6">
        <v>2768020.3190199998</v>
      </c>
      <c r="BF6">
        <v>2431448.9676399999</v>
      </c>
      <c r="BG6">
        <v>2208835.03412</v>
      </c>
      <c r="BH6">
        <v>1989203.98116</v>
      </c>
      <c r="BI6">
        <v>2273224.5241200002</v>
      </c>
      <c r="BJ6">
        <v>2071026.55122</v>
      </c>
      <c r="BK6">
        <v>1827409.6645200001</v>
      </c>
      <c r="BL6">
        <v>2549296.7086399999</v>
      </c>
      <c r="BM6">
        <v>2640433.2933</v>
      </c>
      <c r="BN6">
        <v>2173768.21838</v>
      </c>
      <c r="BO6">
        <v>1805002.122</v>
      </c>
      <c r="BP6">
        <v>1732532.49972</v>
      </c>
      <c r="BQ6">
        <v>1456583.1044600001</v>
      </c>
      <c r="BR6">
        <v>1298397.59412</v>
      </c>
      <c r="BS6">
        <v>1354090.0106800001</v>
      </c>
      <c r="BT6">
        <v>1218542.64708</v>
      </c>
      <c r="BU6">
        <v>1132961.5277200001</v>
      </c>
      <c r="BV6">
        <v>1077122.36302</v>
      </c>
      <c r="BW6">
        <v>1102773.33892</v>
      </c>
    </row>
    <row r="7" spans="1:75">
      <c r="A7" s="8">
        <v>1967</v>
      </c>
      <c r="B7" s="7">
        <v>0.96359499999999998</v>
      </c>
      <c r="C7" s="7">
        <v>1.7364170000000001</v>
      </c>
      <c r="D7" s="7">
        <v>0.56647400000000003</v>
      </c>
      <c r="E7" s="7">
        <v>1.1223339999999999</v>
      </c>
      <c r="F7" s="7">
        <v>0.37962800000000002</v>
      </c>
      <c r="G7" s="7">
        <v>0.71492699999999998</v>
      </c>
      <c r="H7" s="7">
        <v>0.86313099999999998</v>
      </c>
      <c r="I7" s="7">
        <v>1.208799</v>
      </c>
      <c r="J7" s="23">
        <v>0.89616399999999996</v>
      </c>
      <c r="K7" s="23">
        <v>1.517069</v>
      </c>
      <c r="L7" s="23"/>
      <c r="M7">
        <f t="shared" si="1"/>
        <v>311187.22368</v>
      </c>
      <c r="N7">
        <f t="shared" si="0"/>
        <v>16346230.262090001</v>
      </c>
      <c r="O7">
        <f t="shared" si="0"/>
        <v>1696510.3236400001</v>
      </c>
      <c r="P7">
        <f t="shared" si="0"/>
        <v>3118023.4254399999</v>
      </c>
      <c r="Q7">
        <f t="shared" si="0"/>
        <v>5918856.0736000007</v>
      </c>
      <c r="R7">
        <f t="shared" si="0"/>
        <v>3513623.1298199999</v>
      </c>
      <c r="S7">
        <f t="shared" si="0"/>
        <v>1176870.48719</v>
      </c>
      <c r="T7">
        <f t="shared" si="0"/>
        <v>2583130.93506</v>
      </c>
      <c r="U7">
        <f t="shared" si="0"/>
        <v>4480820</v>
      </c>
      <c r="V7">
        <f t="shared" si="0"/>
        <v>758534.5</v>
      </c>
      <c r="W7" s="10"/>
      <c r="X7" s="10">
        <v>2778160</v>
      </c>
      <c r="Y7" s="10">
        <v>2763691.3427200001</v>
      </c>
      <c r="Z7" s="10">
        <v>2830770.0159200002</v>
      </c>
      <c r="AA7" s="10">
        <v>3118023.4254399999</v>
      </c>
      <c r="AB7" s="10">
        <v>3595266.8628800004</v>
      </c>
      <c r="AC7" s="10">
        <v>3788993.5159999998</v>
      </c>
      <c r="AD7" s="10">
        <v>3674255.5079999999</v>
      </c>
      <c r="AE7" s="10">
        <v>3550288.45248</v>
      </c>
      <c r="AF7" s="10">
        <v>3392766.7804799997</v>
      </c>
      <c r="AG7" s="10">
        <v>3219656.8527199998</v>
      </c>
      <c r="AH7" s="10">
        <v>3066580.2367199999</v>
      </c>
      <c r="AI7" s="10">
        <v>2912625.7221599999</v>
      </c>
      <c r="AJ7" s="7">
        <v>2737093.2388800001</v>
      </c>
      <c r="AK7" s="7">
        <v>2562230.2921600002</v>
      </c>
      <c r="AL7" s="7">
        <v>2422916.6807999997</v>
      </c>
      <c r="AM7" s="7">
        <v>2248162.08232</v>
      </c>
      <c r="AN7">
        <v>2076421.7874399999</v>
      </c>
      <c r="AO7">
        <v>1934455.0332800001</v>
      </c>
      <c r="AP7">
        <v>1809640.6389599999</v>
      </c>
      <c r="AQ7">
        <v>1682423.1362400001</v>
      </c>
      <c r="AR7">
        <v>1565607.0645599999</v>
      </c>
      <c r="AS7">
        <v>1472716.5068000001</v>
      </c>
      <c r="AT7">
        <v>1384334.9027200001</v>
      </c>
      <c r="AU7">
        <v>1304268.33152</v>
      </c>
      <c r="AV7">
        <v>1208027.3128</v>
      </c>
      <c r="AW7">
        <v>1118064.9356799999</v>
      </c>
      <c r="AX7">
        <v>1049797.21</v>
      </c>
      <c r="AY7">
        <v>1021879.4801599999</v>
      </c>
      <c r="AZ7">
        <v>996187.05648000003</v>
      </c>
      <c r="BA7">
        <v>969111.10911999992</v>
      </c>
      <c r="BB7">
        <v>964196.54408000002</v>
      </c>
      <c r="BC7">
        <v>951633.70455999998</v>
      </c>
      <c r="BD7">
        <v>933072.81759999995</v>
      </c>
      <c r="BE7">
        <v>923235.35303999996</v>
      </c>
      <c r="BF7">
        <v>902985.34479999996</v>
      </c>
      <c r="BG7">
        <v>898395.82447999995</v>
      </c>
      <c r="BH7">
        <v>904571.67415999994</v>
      </c>
      <c r="BI7">
        <v>922382.45791999996</v>
      </c>
      <c r="BJ7">
        <v>951800.39416000003</v>
      </c>
      <c r="BK7">
        <v>991600.31432</v>
      </c>
      <c r="BL7">
        <v>1033636.65328</v>
      </c>
      <c r="BM7">
        <v>1077381.56064</v>
      </c>
      <c r="BN7">
        <v>1094595.04</v>
      </c>
      <c r="BO7">
        <v>1123754.60736</v>
      </c>
      <c r="BP7">
        <v>1158401.0407199999</v>
      </c>
      <c r="BQ7">
        <v>1212525.15384</v>
      </c>
      <c r="BR7">
        <v>1254172.5504000001</v>
      </c>
      <c r="BS7">
        <v>1280904.0059200001</v>
      </c>
      <c r="BT7">
        <v>1297075.6752800001</v>
      </c>
      <c r="BU7">
        <v>1323815.4652799999</v>
      </c>
      <c r="BV7">
        <v>1340320.5138400001</v>
      </c>
      <c r="BW7">
        <v>1342131.8741600001</v>
      </c>
    </row>
    <row r="8" spans="1:75">
      <c r="A8" s="8">
        <v>1968</v>
      </c>
      <c r="B8" s="7">
        <v>0.969943</v>
      </c>
      <c r="C8" s="7">
        <v>1.8630249999999999</v>
      </c>
      <c r="D8" s="7">
        <v>0.43948100000000001</v>
      </c>
      <c r="E8" s="7">
        <v>1.2941180000000001</v>
      </c>
      <c r="F8" s="7">
        <v>0.334951</v>
      </c>
      <c r="G8" s="7">
        <v>0.64954100000000004</v>
      </c>
      <c r="H8" s="7">
        <v>0.79389900000000002</v>
      </c>
      <c r="I8" s="7">
        <v>1.3220419999999999</v>
      </c>
      <c r="J8" s="23">
        <v>0.78524700000000003</v>
      </c>
      <c r="K8" s="23">
        <v>1.6867509999999999</v>
      </c>
      <c r="L8" s="23"/>
      <c r="M8">
        <f t="shared" si="1"/>
        <v>313237.272192</v>
      </c>
      <c r="N8">
        <f t="shared" si="0"/>
        <v>17538088.854249999</v>
      </c>
      <c r="O8">
        <f t="shared" si="0"/>
        <v>1316184.0676599999</v>
      </c>
      <c r="P8">
        <f t="shared" si="0"/>
        <v>3595266.8628800004</v>
      </c>
      <c r="Q8">
        <f t="shared" si="0"/>
        <v>5222288.0312000001</v>
      </c>
      <c r="R8">
        <f t="shared" si="0"/>
        <v>3192273.1710600001</v>
      </c>
      <c r="S8">
        <f t="shared" si="0"/>
        <v>1082473.34751</v>
      </c>
      <c r="T8">
        <f t="shared" si="0"/>
        <v>2825124.4314799998</v>
      </c>
      <c r="U8">
        <f t="shared" si="0"/>
        <v>3926235</v>
      </c>
      <c r="V8">
        <f t="shared" si="0"/>
        <v>843375.5</v>
      </c>
      <c r="W8" s="10"/>
      <c r="X8" s="10">
        <v>15591200</v>
      </c>
      <c r="Y8" s="10">
        <v>8445581.536799999</v>
      </c>
      <c r="Z8" s="10">
        <v>6883639.5296</v>
      </c>
      <c r="AA8" s="10">
        <v>5918856.0736000007</v>
      </c>
      <c r="AB8" s="10">
        <v>5222288.0312000001</v>
      </c>
      <c r="AC8" s="10">
        <v>4622572.5232000006</v>
      </c>
      <c r="AD8" s="10">
        <v>4177272.2600000002</v>
      </c>
      <c r="AE8" s="10">
        <v>3782799.3088000002</v>
      </c>
      <c r="AF8" s="10">
        <v>3462587.2431999999</v>
      </c>
      <c r="AG8" s="10">
        <v>3199750.7936</v>
      </c>
      <c r="AH8" s="10">
        <v>2969577.9079999998</v>
      </c>
      <c r="AI8" s="10">
        <v>2769620.7679999997</v>
      </c>
      <c r="AJ8" s="7">
        <v>2562865.8648000001</v>
      </c>
      <c r="AK8" s="7">
        <v>2366401.1535999998</v>
      </c>
      <c r="AL8" s="7">
        <v>2194211.9408</v>
      </c>
      <c r="AM8" s="7">
        <v>2006930.4464</v>
      </c>
      <c r="AN8">
        <v>1841819.6384000001</v>
      </c>
      <c r="AO8">
        <v>1685845.2736</v>
      </c>
      <c r="AP8">
        <v>1519315.6664</v>
      </c>
      <c r="AQ8">
        <v>1346066.2519999999</v>
      </c>
      <c r="AR8">
        <v>1166658.3136</v>
      </c>
      <c r="AS8">
        <v>1020225.7631999999</v>
      </c>
      <c r="AT8">
        <v>855224.09360000002</v>
      </c>
      <c r="AU8">
        <v>720173.11920000007</v>
      </c>
      <c r="AV8">
        <v>582471.64080000005</v>
      </c>
      <c r="AW8">
        <v>472304.22159999999</v>
      </c>
      <c r="AX8">
        <v>430130.02559999999</v>
      </c>
      <c r="AY8">
        <v>411155.53519999998</v>
      </c>
      <c r="AZ8">
        <v>389327.85519999999</v>
      </c>
      <c r="BA8">
        <v>370041.54080000002</v>
      </c>
      <c r="BB8">
        <v>342710.16720000003</v>
      </c>
      <c r="BC8">
        <v>323673.31200000003</v>
      </c>
      <c r="BD8">
        <v>301050.48080000002</v>
      </c>
      <c r="BE8">
        <v>287829.14320000005</v>
      </c>
      <c r="BF8">
        <v>267124.02960000001</v>
      </c>
      <c r="BG8">
        <v>258782.73760000002</v>
      </c>
      <c r="BH8">
        <v>259546.70639999997</v>
      </c>
      <c r="BI8">
        <v>276478.74959999998</v>
      </c>
      <c r="BJ8">
        <v>302874.65119999996</v>
      </c>
      <c r="BK8">
        <v>346545.60240000003</v>
      </c>
      <c r="BL8">
        <v>394847.14</v>
      </c>
      <c r="BM8">
        <v>433622.45439999999</v>
      </c>
      <c r="BN8">
        <v>482953.01120000001</v>
      </c>
      <c r="BO8">
        <v>538099.08559999999</v>
      </c>
      <c r="BP8">
        <v>594398.90879999998</v>
      </c>
      <c r="BQ8">
        <v>654471.80240000004</v>
      </c>
      <c r="BR8">
        <v>713936.63919999998</v>
      </c>
      <c r="BS8">
        <v>745711.50480000011</v>
      </c>
      <c r="BT8">
        <v>788509.34880000004</v>
      </c>
      <c r="BU8">
        <v>842049.52960000001</v>
      </c>
      <c r="BV8">
        <v>878392.61679999996</v>
      </c>
      <c r="BW8">
        <v>857859.00640000007</v>
      </c>
    </row>
    <row r="9" spans="1:75">
      <c r="A9" s="8">
        <v>1969</v>
      </c>
      <c r="B9" s="7">
        <v>0.99638700000000002</v>
      </c>
      <c r="C9" s="7">
        <v>1.989689</v>
      </c>
      <c r="D9" s="7">
        <v>0.34063300000000002</v>
      </c>
      <c r="E9" s="7">
        <v>1.36385</v>
      </c>
      <c r="F9" s="7">
        <v>0.29648600000000003</v>
      </c>
      <c r="G9" s="7">
        <v>0.61908700000000005</v>
      </c>
      <c r="H9" s="7">
        <v>0.75597099999999995</v>
      </c>
      <c r="I9" s="7">
        <v>0.96771799999999997</v>
      </c>
      <c r="J9" s="23">
        <v>0.68963600000000003</v>
      </c>
      <c r="K9" s="23">
        <v>1.70933</v>
      </c>
      <c r="L9" s="23"/>
      <c r="M9">
        <f t="shared" si="1"/>
        <v>321777.20332800003</v>
      </c>
      <c r="N9">
        <f t="shared" si="0"/>
        <v>18730474.617529999</v>
      </c>
      <c r="O9">
        <f t="shared" si="0"/>
        <v>1020148.14638</v>
      </c>
      <c r="P9">
        <f t="shared" si="0"/>
        <v>3788993.5159999998</v>
      </c>
      <c r="Q9">
        <f t="shared" si="0"/>
        <v>4622572.5232000006</v>
      </c>
      <c r="R9">
        <f t="shared" si="0"/>
        <v>3042602.1154200002</v>
      </c>
      <c r="S9">
        <f t="shared" si="0"/>
        <v>1030758.8987899999</v>
      </c>
      <c r="T9">
        <f t="shared" si="0"/>
        <v>2067955.3029199999</v>
      </c>
      <c r="U9">
        <f t="shared" si="0"/>
        <v>3448180</v>
      </c>
      <c r="V9">
        <f t="shared" si="0"/>
        <v>854665</v>
      </c>
      <c r="W9" s="10"/>
      <c r="X9" s="10">
        <v>4914660</v>
      </c>
      <c r="Y9" s="10">
        <v>3569419.2648</v>
      </c>
      <c r="Z9" s="10">
        <v>3695676.8802</v>
      </c>
      <c r="AA9" s="10">
        <v>3513623.1298199999</v>
      </c>
      <c r="AB9" s="10">
        <v>3192273.1710600001</v>
      </c>
      <c r="AC9" s="10">
        <v>3042602.1154200002</v>
      </c>
      <c r="AD9" s="10">
        <v>2900131.0366799999</v>
      </c>
      <c r="AE9" s="10">
        <v>2759537.35806</v>
      </c>
      <c r="AF9" s="10">
        <v>2587509.5140799996</v>
      </c>
      <c r="AG9" s="10">
        <v>2513401.3559400002</v>
      </c>
      <c r="AH9" s="10">
        <v>2359601.9859000002</v>
      </c>
      <c r="AI9" s="10">
        <v>2226842.27532</v>
      </c>
      <c r="AJ9" s="7">
        <v>2043972.69138</v>
      </c>
      <c r="AK9" s="7">
        <v>1943792.2619400001</v>
      </c>
      <c r="AL9" s="7">
        <v>1792332.27006</v>
      </c>
      <c r="AM9" s="7">
        <v>1659130.2400799999</v>
      </c>
      <c r="AN9">
        <v>1499836.2801600001</v>
      </c>
      <c r="AO9">
        <v>1336590.9335999999</v>
      </c>
      <c r="AP9">
        <v>1220177.38218</v>
      </c>
      <c r="AQ9">
        <v>1099276.74618</v>
      </c>
      <c r="AR9">
        <v>974208.47850000008</v>
      </c>
      <c r="AS9">
        <v>864464.12069999997</v>
      </c>
      <c r="AT9">
        <v>751584.20981999999</v>
      </c>
      <c r="AU9">
        <v>664304.76288000005</v>
      </c>
      <c r="AV9">
        <v>575998.152</v>
      </c>
      <c r="AW9">
        <v>517228.64772000001</v>
      </c>
      <c r="AX9">
        <v>521243.92494</v>
      </c>
      <c r="AY9">
        <v>540774.78378000006</v>
      </c>
      <c r="AZ9">
        <v>529957.61711999995</v>
      </c>
      <c r="BA9">
        <v>507232.22927999997</v>
      </c>
      <c r="BB9">
        <v>506323.01718000002</v>
      </c>
      <c r="BC9">
        <v>511517.81280000001</v>
      </c>
      <c r="BD9">
        <v>487396.66151999997</v>
      </c>
      <c r="BE9">
        <v>468755.35614000005</v>
      </c>
      <c r="BF9">
        <v>469841.49600000004</v>
      </c>
      <c r="BG9">
        <v>470524.63374000002</v>
      </c>
      <c r="BH9">
        <v>492237.60161999997</v>
      </c>
      <c r="BI9">
        <v>526443.63522000005</v>
      </c>
      <c r="BJ9">
        <v>565947.67229999998</v>
      </c>
      <c r="BK9">
        <v>611201.86158000003</v>
      </c>
      <c r="BL9">
        <v>636001.23593999993</v>
      </c>
      <c r="BM9">
        <v>647349.18588</v>
      </c>
      <c r="BN9">
        <v>663803.4675599999</v>
      </c>
      <c r="BO9">
        <v>689059.90529999998</v>
      </c>
      <c r="BP9">
        <v>716930.94215999998</v>
      </c>
      <c r="BQ9">
        <v>742295.50242000003</v>
      </c>
      <c r="BR9">
        <v>768397.26167999988</v>
      </c>
      <c r="BS9">
        <v>790945.72175999999</v>
      </c>
      <c r="BT9">
        <v>803183.22515999991</v>
      </c>
      <c r="BU9">
        <v>833482.10405999993</v>
      </c>
      <c r="BV9">
        <v>845360.83727999998</v>
      </c>
      <c r="BW9">
        <v>833722.92240000004</v>
      </c>
    </row>
    <row r="10" spans="1:75">
      <c r="A10" s="8">
        <v>1970</v>
      </c>
      <c r="B10" s="7">
        <v>1.039698</v>
      </c>
      <c r="C10" s="7">
        <v>2.1171769999999999</v>
      </c>
      <c r="D10" s="7">
        <v>0.26603700000000002</v>
      </c>
      <c r="E10" s="7">
        <v>1.3225499999999999</v>
      </c>
      <c r="F10" s="7">
        <v>0.26792500000000002</v>
      </c>
      <c r="G10" s="7">
        <v>0.59009800000000001</v>
      </c>
      <c r="H10" s="7">
        <v>0.69277500000000003</v>
      </c>
      <c r="I10" s="7">
        <v>0.71207299999999996</v>
      </c>
      <c r="J10" s="23">
        <v>0.60838199999999998</v>
      </c>
      <c r="K10" s="23">
        <v>1.7259059999999999</v>
      </c>
      <c r="L10" s="23"/>
      <c r="M10">
        <f t="shared" si="1"/>
        <v>335764.230912</v>
      </c>
      <c r="N10">
        <f t="shared" si="0"/>
        <v>19930617.327289999</v>
      </c>
      <c r="O10">
        <f t="shared" si="0"/>
        <v>796743.56982000009</v>
      </c>
      <c r="P10">
        <f t="shared" si="0"/>
        <v>3674255.5079999999</v>
      </c>
      <c r="Q10">
        <f t="shared" si="0"/>
        <v>4177272.2600000002</v>
      </c>
      <c r="R10">
        <f t="shared" si="0"/>
        <v>2900131.0366799999</v>
      </c>
      <c r="S10">
        <f t="shared" si="0"/>
        <v>944591.78474999999</v>
      </c>
      <c r="T10">
        <f t="shared" si="0"/>
        <v>1521657.2766199999</v>
      </c>
      <c r="U10">
        <f t="shared" si="0"/>
        <v>3041910</v>
      </c>
      <c r="V10">
        <f t="shared" si="0"/>
        <v>862953</v>
      </c>
      <c r="W10" s="7"/>
      <c r="X10" s="7">
        <v>1363490</v>
      </c>
      <c r="Y10" s="7">
        <v>1422230.51269</v>
      </c>
      <c r="Z10" s="7">
        <v>1279323.12579</v>
      </c>
      <c r="AA10" s="7">
        <v>1176870.48719</v>
      </c>
      <c r="AB10" s="7">
        <v>1082473.34751</v>
      </c>
      <c r="AC10" s="7">
        <v>1030758.8987899999</v>
      </c>
      <c r="AD10" s="7">
        <v>944591.78474999999</v>
      </c>
      <c r="AE10" s="7">
        <v>897859.52849000006</v>
      </c>
      <c r="AF10" s="7">
        <v>826456.28417</v>
      </c>
      <c r="AG10" s="7">
        <v>765167.40867000003</v>
      </c>
      <c r="AH10" s="7">
        <v>703410.85609999998</v>
      </c>
      <c r="AI10" s="7">
        <v>648700.81984999997</v>
      </c>
      <c r="AJ10" s="7">
        <v>580096.82050000003</v>
      </c>
      <c r="AK10" s="7">
        <v>517803.05287000001</v>
      </c>
      <c r="AL10" s="7">
        <v>458068.55596999999</v>
      </c>
      <c r="AM10" s="7">
        <v>414293.70952000003</v>
      </c>
      <c r="AN10">
        <v>377658.09670999995</v>
      </c>
      <c r="AO10">
        <v>322050.88403999998</v>
      </c>
      <c r="AP10">
        <v>303428.33762000001</v>
      </c>
      <c r="AQ10">
        <v>295897.78234999999</v>
      </c>
      <c r="AR10">
        <v>277219.33283999999</v>
      </c>
      <c r="AS10">
        <v>243318.88097</v>
      </c>
      <c r="AT10">
        <v>231144.27876000002</v>
      </c>
      <c r="AU10">
        <v>226624.30940999999</v>
      </c>
      <c r="AV10">
        <v>210239.25008</v>
      </c>
      <c r="AW10">
        <v>195689.44829</v>
      </c>
      <c r="AX10">
        <v>217203.95699999999</v>
      </c>
      <c r="AY10">
        <v>226427.96685</v>
      </c>
      <c r="AZ10">
        <v>195858.52104999998</v>
      </c>
      <c r="BA10">
        <v>203399.98423999999</v>
      </c>
      <c r="BB10">
        <v>199169.07477000001</v>
      </c>
      <c r="BC10">
        <v>201838.78818999999</v>
      </c>
      <c r="BD10">
        <v>196143.49046</v>
      </c>
      <c r="BE10">
        <v>219414.17429000002</v>
      </c>
      <c r="BF10">
        <v>197286.09507999997</v>
      </c>
      <c r="BG10">
        <v>204249.43850999998</v>
      </c>
      <c r="BH10">
        <v>198415.06480000002</v>
      </c>
      <c r="BI10">
        <v>208915.30129</v>
      </c>
      <c r="BJ10">
        <v>221993.89737000002</v>
      </c>
      <c r="BK10">
        <v>232466.86406000002</v>
      </c>
      <c r="BL10">
        <v>228546.83030999999</v>
      </c>
      <c r="BM10">
        <v>252680.60331000001</v>
      </c>
      <c r="BN10">
        <v>240331.47438</v>
      </c>
      <c r="BO10">
        <v>243872.45791</v>
      </c>
      <c r="BP10">
        <v>248249.26081000001</v>
      </c>
      <c r="BQ10">
        <v>244715.09472999998</v>
      </c>
      <c r="BR10">
        <v>252139.29777999999</v>
      </c>
      <c r="BS10">
        <v>251893.86958</v>
      </c>
      <c r="BT10">
        <v>252676.51284000001</v>
      </c>
      <c r="BU10">
        <v>256330.66603999998</v>
      </c>
      <c r="BV10">
        <v>262387.28862000001</v>
      </c>
      <c r="BW10">
        <v>248136.09114</v>
      </c>
    </row>
    <row r="11" spans="1:75">
      <c r="A11" s="8">
        <v>1971</v>
      </c>
      <c r="B11" s="7">
        <v>1.101043</v>
      </c>
      <c r="C11" s="7">
        <v>2.165111</v>
      </c>
      <c r="D11" s="7">
        <v>0.22328500000000001</v>
      </c>
      <c r="E11" s="7">
        <v>1.277928</v>
      </c>
      <c r="F11" s="7">
        <v>0.24262400000000001</v>
      </c>
      <c r="G11" s="7">
        <v>0.56149099999999996</v>
      </c>
      <c r="H11" s="7">
        <v>0.658501</v>
      </c>
      <c r="I11" s="7">
        <v>0.76022500000000004</v>
      </c>
      <c r="J11" s="23">
        <v>0.533582</v>
      </c>
      <c r="K11" s="23">
        <v>1.7486809999999999</v>
      </c>
      <c r="L11" s="23"/>
      <c r="M11">
        <f t="shared" si="1"/>
        <v>355575.23059200001</v>
      </c>
      <c r="N11">
        <f t="shared" si="0"/>
        <v>20381856.978470001</v>
      </c>
      <c r="O11">
        <f t="shared" si="0"/>
        <v>668707.31510000001</v>
      </c>
      <c r="P11">
        <f t="shared" si="0"/>
        <v>3550288.45248</v>
      </c>
      <c r="Q11">
        <f t="shared" si="0"/>
        <v>3782799.3088000002</v>
      </c>
      <c r="R11">
        <f t="shared" si="0"/>
        <v>2759537.35806</v>
      </c>
      <c r="S11">
        <f t="shared" si="0"/>
        <v>897859.52849000006</v>
      </c>
      <c r="T11">
        <f t="shared" si="0"/>
        <v>1624555.2115</v>
      </c>
      <c r="U11">
        <f t="shared" si="0"/>
        <v>2667910</v>
      </c>
      <c r="V11">
        <f t="shared" si="0"/>
        <v>874340.5</v>
      </c>
      <c r="W11" s="10"/>
      <c r="X11" s="10">
        <v>2136940</v>
      </c>
      <c r="Y11" s="10">
        <v>2660253.0996599998</v>
      </c>
      <c r="Z11" s="10">
        <v>2083210.9175799999</v>
      </c>
      <c r="AA11" s="10">
        <v>2583130.93506</v>
      </c>
      <c r="AB11" s="10">
        <v>2825124.4314799998</v>
      </c>
      <c r="AC11" s="10">
        <v>2067955.3029199999</v>
      </c>
      <c r="AD11" s="10">
        <v>1521657.2766199999</v>
      </c>
      <c r="AE11" s="10">
        <v>1624555.2115</v>
      </c>
      <c r="AF11" s="10">
        <v>1544105.8313200001</v>
      </c>
      <c r="AG11" s="10">
        <v>1414318.78042</v>
      </c>
      <c r="AH11" s="10">
        <v>1305638.2859</v>
      </c>
      <c r="AI11" s="10">
        <v>813131.31328</v>
      </c>
      <c r="AJ11" s="7">
        <v>516919.37517999997</v>
      </c>
      <c r="AK11" s="7">
        <v>436598.21139999997</v>
      </c>
      <c r="AL11" s="7">
        <v>669578.09489999991</v>
      </c>
      <c r="AM11" s="7">
        <v>1056394.15206</v>
      </c>
      <c r="AN11">
        <v>1002190.66896</v>
      </c>
      <c r="AO11">
        <v>905406.51942000003</v>
      </c>
      <c r="AP11">
        <v>1099483.41022</v>
      </c>
      <c r="AQ11">
        <v>1970538.6191400001</v>
      </c>
      <c r="AR11">
        <v>2853338.4503000001</v>
      </c>
      <c r="AS11">
        <v>2443469.0844200002</v>
      </c>
      <c r="AT11">
        <v>3450339.6519800001</v>
      </c>
      <c r="AU11">
        <v>2777447.1631399998</v>
      </c>
      <c r="AV11">
        <v>2400255.88374</v>
      </c>
      <c r="AW11">
        <v>2072301.8388799999</v>
      </c>
      <c r="AX11">
        <v>2785817.55712</v>
      </c>
      <c r="AY11">
        <v>2444118.7141800001</v>
      </c>
      <c r="AZ11">
        <v>2015734.90014</v>
      </c>
      <c r="BA11">
        <v>2787888.2519799997</v>
      </c>
      <c r="BB11">
        <v>2100936.83488</v>
      </c>
      <c r="BC11">
        <v>1829818.9832000001</v>
      </c>
      <c r="BD11">
        <v>2535466.4883599998</v>
      </c>
      <c r="BE11">
        <v>3130151.2470800001</v>
      </c>
      <c r="BF11">
        <v>2542633.7851200001</v>
      </c>
      <c r="BG11">
        <v>3428029.9983799998</v>
      </c>
      <c r="BH11">
        <v>3328807.6003</v>
      </c>
      <c r="BI11">
        <v>4009914.4864999996</v>
      </c>
      <c r="BJ11">
        <v>3149511.9234800003</v>
      </c>
      <c r="BK11">
        <v>3955657.5799000002</v>
      </c>
      <c r="BL11">
        <v>2982027.1140400004</v>
      </c>
      <c r="BM11">
        <v>3021793.4304999998</v>
      </c>
      <c r="BN11">
        <v>3511015.9263399998</v>
      </c>
      <c r="BO11">
        <v>2637640.0005800002</v>
      </c>
      <c r="BP11">
        <v>3380942.5254799998</v>
      </c>
      <c r="BQ11">
        <v>3960918.7261800002</v>
      </c>
      <c r="BR11">
        <v>4553936.6716999998</v>
      </c>
      <c r="BS11">
        <v>5237088.6094800001</v>
      </c>
      <c r="BT11">
        <v>5793643.9477799991</v>
      </c>
      <c r="BU11">
        <v>6420934.1370199993</v>
      </c>
      <c r="BV11">
        <v>4921421.9696199996</v>
      </c>
      <c r="BW11">
        <v>4925022.7135200007</v>
      </c>
    </row>
    <row r="12" spans="1:75">
      <c r="A12" s="8">
        <v>1972</v>
      </c>
      <c r="B12" s="7">
        <v>1.213465</v>
      </c>
      <c r="C12" s="7">
        <v>2.2438690000000001</v>
      </c>
      <c r="D12" s="7">
        <v>0.18104899999999999</v>
      </c>
      <c r="E12" s="7">
        <v>1.221228</v>
      </c>
      <c r="F12" s="7">
        <v>0.22208600000000001</v>
      </c>
      <c r="G12" s="7">
        <v>0.52648799999999996</v>
      </c>
      <c r="H12" s="7">
        <v>0.60613300000000003</v>
      </c>
      <c r="I12" s="7">
        <v>0.72257800000000005</v>
      </c>
      <c r="J12" s="23">
        <v>0.49040299999999998</v>
      </c>
      <c r="K12" s="23">
        <v>1.755773</v>
      </c>
      <c r="L12" s="23"/>
      <c r="M12">
        <f t="shared" si="1"/>
        <v>391881.24096000002</v>
      </c>
      <c r="N12">
        <f t="shared" si="0"/>
        <v>21123266.676130001</v>
      </c>
      <c r="O12">
        <f t="shared" si="0"/>
        <v>542216.40813999996</v>
      </c>
      <c r="P12">
        <f t="shared" si="0"/>
        <v>3392766.7804799997</v>
      </c>
      <c r="Q12">
        <f t="shared" si="0"/>
        <v>3462587.2431999999</v>
      </c>
      <c r="R12">
        <f t="shared" si="0"/>
        <v>2587509.5140799996</v>
      </c>
      <c r="S12">
        <f t="shared" si="0"/>
        <v>826456.28417</v>
      </c>
      <c r="T12">
        <f t="shared" si="0"/>
        <v>1544105.8313200001</v>
      </c>
      <c r="U12">
        <f t="shared" si="0"/>
        <v>2452015</v>
      </c>
      <c r="V12">
        <f t="shared" si="0"/>
        <v>877886.5</v>
      </c>
      <c r="W12" s="7"/>
      <c r="X12" s="7">
        <v>5000000</v>
      </c>
      <c r="Y12" s="7">
        <v>5264460</v>
      </c>
      <c r="Z12" s="7">
        <v>5027540</v>
      </c>
      <c r="AA12" s="7">
        <v>4480820</v>
      </c>
      <c r="AB12" s="7">
        <v>3926235</v>
      </c>
      <c r="AC12" s="7">
        <v>3448180</v>
      </c>
      <c r="AD12" s="7">
        <v>3041910</v>
      </c>
      <c r="AE12" s="7">
        <v>2667910</v>
      </c>
      <c r="AF12" s="7">
        <v>2452015</v>
      </c>
      <c r="AG12" s="7">
        <v>2097655</v>
      </c>
      <c r="AH12" s="7">
        <v>1796295</v>
      </c>
      <c r="AI12" s="7">
        <v>1544535</v>
      </c>
      <c r="AJ12" s="7">
        <v>1298900</v>
      </c>
      <c r="AK12" s="7">
        <v>1030890</v>
      </c>
      <c r="AL12" s="7">
        <v>1465390</v>
      </c>
      <c r="AM12" s="7">
        <v>1955675</v>
      </c>
      <c r="AN12">
        <v>2325605</v>
      </c>
      <c r="AO12">
        <v>2452155</v>
      </c>
      <c r="AP12">
        <v>2443455</v>
      </c>
      <c r="AQ12">
        <v>2379600</v>
      </c>
      <c r="AR12">
        <v>2237180</v>
      </c>
      <c r="AS12">
        <v>2093984.9999999998</v>
      </c>
      <c r="AT12">
        <v>1851325</v>
      </c>
      <c r="AU12">
        <v>1644920</v>
      </c>
      <c r="AV12">
        <v>1433840</v>
      </c>
      <c r="AW12">
        <v>1264085</v>
      </c>
      <c r="AX12">
        <v>1167880</v>
      </c>
      <c r="AY12">
        <v>1107045</v>
      </c>
      <c r="AZ12">
        <v>1068050</v>
      </c>
      <c r="BA12">
        <v>1035855</v>
      </c>
      <c r="BB12">
        <v>1021370</v>
      </c>
      <c r="BC12">
        <v>1004030.0000000001</v>
      </c>
      <c r="BD12">
        <v>980235</v>
      </c>
      <c r="BE12">
        <v>981910</v>
      </c>
      <c r="BF12">
        <v>967180</v>
      </c>
      <c r="BG12">
        <v>986035</v>
      </c>
      <c r="BH12">
        <v>989970</v>
      </c>
      <c r="BI12">
        <v>1051535</v>
      </c>
      <c r="BJ12">
        <v>1112725</v>
      </c>
      <c r="BK12">
        <v>1179575</v>
      </c>
      <c r="BL12">
        <v>1248480</v>
      </c>
      <c r="BM12">
        <v>1314330</v>
      </c>
      <c r="BN12">
        <v>1415845</v>
      </c>
      <c r="BO12">
        <v>1477605</v>
      </c>
      <c r="BP12">
        <v>1519510</v>
      </c>
      <c r="BQ12">
        <v>1621495</v>
      </c>
      <c r="BR12">
        <v>1702529.9999999998</v>
      </c>
      <c r="BS12">
        <v>1769795.0000000002</v>
      </c>
      <c r="BT12">
        <v>1794900</v>
      </c>
      <c r="BU12">
        <v>1838910</v>
      </c>
      <c r="BV12">
        <v>1904070</v>
      </c>
      <c r="BW12">
        <v>1907075</v>
      </c>
    </row>
    <row r="13" spans="1:75">
      <c r="A13" s="8">
        <v>1973</v>
      </c>
      <c r="B13" s="7">
        <v>1.3016399999999999</v>
      </c>
      <c r="C13" s="7">
        <v>2.3272360000000001</v>
      </c>
      <c r="D13" s="7">
        <v>0.15812100000000001</v>
      </c>
      <c r="E13" s="7">
        <v>1.158917</v>
      </c>
      <c r="F13" s="7">
        <v>0.20522799999999999</v>
      </c>
      <c r="G13" s="7">
        <v>0.511409</v>
      </c>
      <c r="H13" s="7">
        <v>0.56118299999999999</v>
      </c>
      <c r="I13" s="7">
        <v>0.66184299999999996</v>
      </c>
      <c r="J13" s="23">
        <v>0.41953099999999999</v>
      </c>
      <c r="K13" s="23">
        <v>1.7671570000000001</v>
      </c>
      <c r="L13" s="23"/>
      <c r="M13">
        <f t="shared" si="1"/>
        <v>420356.82815999998</v>
      </c>
      <c r="N13">
        <f t="shared" si="0"/>
        <v>21908064.439720001</v>
      </c>
      <c r="O13">
        <f t="shared" si="0"/>
        <v>473550.25806000002</v>
      </c>
      <c r="P13">
        <f t="shared" si="0"/>
        <v>3219656.8527199998</v>
      </c>
      <c r="Q13">
        <f t="shared" si="0"/>
        <v>3199750.7936</v>
      </c>
      <c r="R13">
        <f t="shared" si="0"/>
        <v>2513401.3559400002</v>
      </c>
      <c r="S13">
        <f t="shared" si="0"/>
        <v>765167.40867000003</v>
      </c>
      <c r="T13">
        <f t="shared" si="0"/>
        <v>1414318.78042</v>
      </c>
      <c r="U13">
        <f t="shared" si="0"/>
        <v>2097655</v>
      </c>
      <c r="V13">
        <f t="shared" si="0"/>
        <v>883578.5</v>
      </c>
      <c r="W13" s="7"/>
      <c r="X13" s="7">
        <v>500000</v>
      </c>
      <c r="Y13" s="7">
        <v>533187</v>
      </c>
      <c r="Z13" s="7">
        <v>627923</v>
      </c>
      <c r="AA13" s="7">
        <v>758534.5</v>
      </c>
      <c r="AB13" s="7">
        <v>843375.5</v>
      </c>
      <c r="AC13" s="7">
        <v>854665</v>
      </c>
      <c r="AD13" s="7">
        <v>862953</v>
      </c>
      <c r="AE13" s="7">
        <v>874340.5</v>
      </c>
      <c r="AF13" s="7">
        <v>877886.5</v>
      </c>
      <c r="AG13" s="7">
        <v>883578.5</v>
      </c>
      <c r="AH13" s="7">
        <v>877285.5</v>
      </c>
      <c r="AI13" s="7">
        <v>885015.5</v>
      </c>
      <c r="AJ13" s="7">
        <v>871092</v>
      </c>
      <c r="AK13" s="7">
        <v>870090.5</v>
      </c>
      <c r="AL13" s="7">
        <v>875358</v>
      </c>
      <c r="AM13" s="7">
        <v>889216</v>
      </c>
      <c r="AN13">
        <v>884812</v>
      </c>
      <c r="AO13">
        <v>885856</v>
      </c>
      <c r="AP13">
        <v>872234.5</v>
      </c>
      <c r="AQ13">
        <v>880019</v>
      </c>
      <c r="AR13">
        <v>870902</v>
      </c>
      <c r="AS13">
        <v>865407</v>
      </c>
      <c r="AT13">
        <v>864961</v>
      </c>
      <c r="AU13">
        <v>866824</v>
      </c>
      <c r="AV13">
        <v>851914.5</v>
      </c>
      <c r="AW13">
        <v>844535.5</v>
      </c>
      <c r="AX13">
        <v>825003.5</v>
      </c>
      <c r="AY13">
        <v>824347</v>
      </c>
      <c r="AZ13">
        <v>820541.5</v>
      </c>
      <c r="BA13">
        <v>819458.5</v>
      </c>
      <c r="BB13">
        <v>809473.5</v>
      </c>
      <c r="BC13">
        <v>820131</v>
      </c>
      <c r="BD13">
        <v>816845.5</v>
      </c>
      <c r="BE13">
        <v>814717.5</v>
      </c>
      <c r="BF13">
        <v>809854.5</v>
      </c>
      <c r="BG13">
        <v>812368.5</v>
      </c>
      <c r="BH13">
        <v>804822</v>
      </c>
      <c r="BI13">
        <v>812431.5</v>
      </c>
      <c r="BJ13">
        <v>809281.5</v>
      </c>
      <c r="BK13">
        <v>804658</v>
      </c>
      <c r="BL13">
        <v>805165</v>
      </c>
      <c r="BM13">
        <v>813186</v>
      </c>
      <c r="BN13">
        <v>803146</v>
      </c>
      <c r="BO13">
        <v>804741</v>
      </c>
      <c r="BP13">
        <v>796595</v>
      </c>
      <c r="BQ13">
        <v>798917</v>
      </c>
      <c r="BR13">
        <v>795012.5</v>
      </c>
      <c r="BS13">
        <v>808069</v>
      </c>
      <c r="BT13">
        <v>796351</v>
      </c>
      <c r="BU13">
        <v>804116</v>
      </c>
      <c r="BV13">
        <v>790638</v>
      </c>
      <c r="BW13">
        <v>799271</v>
      </c>
    </row>
    <row r="14" spans="1:75">
      <c r="A14" s="8">
        <v>1974</v>
      </c>
      <c r="B14" s="7">
        <v>1.403024</v>
      </c>
      <c r="C14" s="7">
        <v>2.3201290000000001</v>
      </c>
      <c r="D14" s="7">
        <v>0.14988899999999999</v>
      </c>
      <c r="E14" s="7">
        <v>1.103817</v>
      </c>
      <c r="F14" s="7">
        <v>0.190465</v>
      </c>
      <c r="G14" s="7">
        <v>0.48011500000000001</v>
      </c>
      <c r="H14" s="7">
        <v>0.51588999999999996</v>
      </c>
      <c r="I14" s="7">
        <v>0.610985</v>
      </c>
      <c r="J14" s="23">
        <v>0.359259</v>
      </c>
      <c r="K14" s="23">
        <v>1.7545710000000001</v>
      </c>
      <c r="L14" s="23"/>
      <c r="M14">
        <f t="shared" si="1"/>
        <v>453098.18265600002</v>
      </c>
      <c r="N14">
        <f t="shared" si="0"/>
        <v>21841160.776330002</v>
      </c>
      <c r="O14">
        <f t="shared" si="0"/>
        <v>448896.57053999999</v>
      </c>
      <c r="P14">
        <f t="shared" si="0"/>
        <v>3066580.2367199999</v>
      </c>
      <c r="Q14">
        <f t="shared" si="0"/>
        <v>2969577.9079999998</v>
      </c>
      <c r="R14">
        <f t="shared" si="0"/>
        <v>2359601.9859000002</v>
      </c>
      <c r="S14">
        <f t="shared" si="0"/>
        <v>703410.85609999998</v>
      </c>
      <c r="T14">
        <f t="shared" si="0"/>
        <v>1305638.2859</v>
      </c>
      <c r="U14">
        <f t="shared" si="0"/>
        <v>1796295</v>
      </c>
      <c r="V14">
        <f t="shared" si="0"/>
        <v>877285.5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75">
      <c r="A15" s="8">
        <v>1975</v>
      </c>
      <c r="B15" s="7">
        <v>1.5158799999999999</v>
      </c>
      <c r="C15" s="7">
        <v>2.3538830000000002</v>
      </c>
      <c r="D15" s="7">
        <v>0.164855</v>
      </c>
      <c r="E15" s="7">
        <v>1.0484009999999999</v>
      </c>
      <c r="F15" s="7">
        <v>0.17763999999999999</v>
      </c>
      <c r="G15" s="7">
        <v>0.453102</v>
      </c>
      <c r="H15" s="7">
        <v>0.47576499999999999</v>
      </c>
      <c r="I15" s="7">
        <v>0.38051200000000002</v>
      </c>
      <c r="J15" s="23">
        <v>0.30890699999999999</v>
      </c>
      <c r="K15" s="23">
        <v>1.7700309999999999</v>
      </c>
      <c r="L15" s="23"/>
      <c r="M15">
        <f t="shared" si="1"/>
        <v>489544.35071999999</v>
      </c>
      <c r="N15">
        <f t="shared" si="0"/>
        <v>22158913.16891</v>
      </c>
      <c r="O15">
        <f t="shared" si="0"/>
        <v>493717.64530000003</v>
      </c>
      <c r="P15">
        <f t="shared" si="0"/>
        <v>2912625.7221599999</v>
      </c>
      <c r="Q15">
        <f t="shared" si="0"/>
        <v>2769620.7679999997</v>
      </c>
      <c r="R15">
        <f t="shared" si="0"/>
        <v>2226842.27532</v>
      </c>
      <c r="S15">
        <f t="shared" si="0"/>
        <v>648700.81984999997</v>
      </c>
      <c r="T15">
        <f t="shared" si="0"/>
        <v>813131.31328</v>
      </c>
      <c r="U15">
        <f t="shared" si="0"/>
        <v>1544535</v>
      </c>
      <c r="V15">
        <f t="shared" si="0"/>
        <v>885015.5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75">
      <c r="A16" s="8">
        <v>1976</v>
      </c>
      <c r="B16" s="7">
        <v>1.631213</v>
      </c>
      <c r="C16" s="7">
        <v>2.3783759999999998</v>
      </c>
      <c r="D16" s="7">
        <v>0.132854</v>
      </c>
      <c r="E16" s="7">
        <v>0.98521800000000004</v>
      </c>
      <c r="F16" s="7">
        <v>0.164379</v>
      </c>
      <c r="G16" s="7">
        <v>0.41589300000000001</v>
      </c>
      <c r="H16" s="7">
        <v>0.42544999999999999</v>
      </c>
      <c r="I16" s="7">
        <v>0.241897</v>
      </c>
      <c r="J16" s="23">
        <v>0.25978000000000001</v>
      </c>
      <c r="K16" s="23">
        <v>1.742184</v>
      </c>
      <c r="L16" s="23"/>
      <c r="M16">
        <f t="shared" si="1"/>
        <v>526790.45107199997</v>
      </c>
      <c r="N16">
        <f t="shared" si="0"/>
        <v>22389484.637519997</v>
      </c>
      <c r="O16">
        <f t="shared" si="0"/>
        <v>397879.13043999998</v>
      </c>
      <c r="P16">
        <f t="shared" si="0"/>
        <v>2737093.2388800001</v>
      </c>
      <c r="Q16">
        <f t="shared" si="0"/>
        <v>2562865.8648000001</v>
      </c>
      <c r="R16">
        <f t="shared" si="0"/>
        <v>2043972.69138</v>
      </c>
      <c r="S16">
        <f t="shared" si="0"/>
        <v>580096.82050000003</v>
      </c>
      <c r="T16">
        <f t="shared" si="0"/>
        <v>516919.37517999997</v>
      </c>
      <c r="U16">
        <f t="shared" si="0"/>
        <v>1298900</v>
      </c>
      <c r="V16">
        <f t="shared" si="0"/>
        <v>871092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>
      <c r="A17" s="8">
        <v>1977</v>
      </c>
      <c r="B17" s="7">
        <v>1.7471270000000001</v>
      </c>
      <c r="C17" s="7">
        <v>2.2883360000000001</v>
      </c>
      <c r="D17" s="7">
        <v>0.11376699999999999</v>
      </c>
      <c r="E17" s="7">
        <v>0.92227599999999998</v>
      </c>
      <c r="F17" s="7">
        <v>0.151778</v>
      </c>
      <c r="G17" s="7">
        <v>0.395509</v>
      </c>
      <c r="H17" s="7">
        <v>0.37976300000000002</v>
      </c>
      <c r="I17" s="7">
        <v>0.20430999999999999</v>
      </c>
      <c r="J17" s="23">
        <v>0.206178</v>
      </c>
      <c r="K17" s="23">
        <v>1.740181</v>
      </c>
      <c r="L17" s="23"/>
      <c r="M17">
        <f t="shared" si="1"/>
        <v>564224.18188799999</v>
      </c>
      <c r="N17">
        <f t="shared" si="0"/>
        <v>21541868.78672</v>
      </c>
      <c r="O17">
        <f t="shared" si="0"/>
        <v>340716.23761999997</v>
      </c>
      <c r="P17">
        <f t="shared" si="0"/>
        <v>2562230.2921600002</v>
      </c>
      <c r="Q17">
        <f t="shared" si="0"/>
        <v>2366401.1535999998</v>
      </c>
      <c r="R17">
        <f t="shared" si="0"/>
        <v>1943792.2619400001</v>
      </c>
      <c r="S17">
        <f t="shared" si="0"/>
        <v>517803.05287000001</v>
      </c>
      <c r="T17">
        <f t="shared" si="0"/>
        <v>436598.21139999997</v>
      </c>
      <c r="U17">
        <f t="shared" si="0"/>
        <v>1030890</v>
      </c>
      <c r="V17">
        <f t="shared" si="0"/>
        <v>870090.5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>
      <c r="A18" s="8">
        <v>1978</v>
      </c>
      <c r="B18" s="7">
        <v>1.8695600000000001</v>
      </c>
      <c r="C18" s="7">
        <v>2.2635360000000002</v>
      </c>
      <c r="D18" s="7">
        <v>0.22334499999999999</v>
      </c>
      <c r="E18" s="7">
        <v>0.87212999999999996</v>
      </c>
      <c r="F18" s="7">
        <v>0.140734</v>
      </c>
      <c r="G18" s="7">
        <v>0.36469099999999999</v>
      </c>
      <c r="H18" s="7">
        <v>0.335953</v>
      </c>
      <c r="I18" s="7">
        <v>0.31333499999999997</v>
      </c>
      <c r="J18" s="23">
        <v>0.29307800000000001</v>
      </c>
      <c r="K18" s="23">
        <v>1.7507159999999999</v>
      </c>
      <c r="L18" s="23"/>
      <c r="M18">
        <f t="shared" si="1"/>
        <v>603763.18463999999</v>
      </c>
      <c r="N18">
        <f t="shared" si="0"/>
        <v>21308407.290720001</v>
      </c>
      <c r="O18">
        <f t="shared" si="0"/>
        <v>668887.00669999991</v>
      </c>
      <c r="P18">
        <f t="shared" si="0"/>
        <v>2422916.6807999997</v>
      </c>
      <c r="Q18">
        <f t="shared" si="0"/>
        <v>2194211.9408</v>
      </c>
      <c r="R18">
        <f t="shared" si="0"/>
        <v>1792332.27006</v>
      </c>
      <c r="S18">
        <f t="shared" si="0"/>
        <v>458068.55596999999</v>
      </c>
      <c r="T18">
        <f t="shared" si="0"/>
        <v>669578.09489999991</v>
      </c>
      <c r="U18">
        <f t="shared" si="0"/>
        <v>1465390</v>
      </c>
      <c r="V18">
        <f t="shared" si="0"/>
        <v>875358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>
      <c r="A19" s="8">
        <v>1979</v>
      </c>
      <c r="B19" s="7">
        <v>1.9945010000000001</v>
      </c>
      <c r="C19" s="7">
        <v>2.2421139999999999</v>
      </c>
      <c r="D19" s="7">
        <v>0.34849000000000002</v>
      </c>
      <c r="E19" s="7">
        <v>0.80922700000000003</v>
      </c>
      <c r="F19" s="7">
        <v>0.128722</v>
      </c>
      <c r="G19" s="7">
        <v>0.337588</v>
      </c>
      <c r="H19" s="7">
        <v>0.30384800000000001</v>
      </c>
      <c r="I19" s="7">
        <v>0.49434899999999998</v>
      </c>
      <c r="J19" s="23">
        <v>0.39113500000000001</v>
      </c>
      <c r="K19" s="23">
        <v>1.778432</v>
      </c>
      <c r="L19" s="23"/>
      <c r="M19">
        <f t="shared" si="1"/>
        <v>644112.13094399997</v>
      </c>
      <c r="N19">
        <f t="shared" si="0"/>
        <v>21106745.509780001</v>
      </c>
      <c r="O19">
        <f t="shared" si="0"/>
        <v>1043678.7614000001</v>
      </c>
      <c r="P19">
        <f t="shared" si="0"/>
        <v>2248162.08232</v>
      </c>
      <c r="Q19">
        <f t="shared" si="0"/>
        <v>2006930.4464</v>
      </c>
      <c r="R19">
        <f t="shared" si="0"/>
        <v>1659130.2400799999</v>
      </c>
      <c r="S19">
        <f t="shared" si="0"/>
        <v>414293.70952000003</v>
      </c>
      <c r="T19">
        <f t="shared" si="0"/>
        <v>1056394.15206</v>
      </c>
      <c r="U19">
        <f t="shared" si="0"/>
        <v>1955675</v>
      </c>
      <c r="V19">
        <f t="shared" si="0"/>
        <v>889216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>
      <c r="A20" s="8">
        <v>1980</v>
      </c>
      <c r="B20" s="7">
        <v>2.1223649999999998</v>
      </c>
      <c r="C20" s="7">
        <v>2.0983529999999999</v>
      </c>
      <c r="D20" s="7">
        <v>0.45180999999999999</v>
      </c>
      <c r="E20" s="7">
        <v>0.74740899999999999</v>
      </c>
      <c r="F20" s="7">
        <v>0.118132</v>
      </c>
      <c r="G20" s="7">
        <v>0.305176</v>
      </c>
      <c r="H20" s="7">
        <v>0.27697899999999998</v>
      </c>
      <c r="I20" s="7">
        <v>0.46898400000000001</v>
      </c>
      <c r="J20" s="23">
        <v>0.46512100000000001</v>
      </c>
      <c r="K20" s="23">
        <v>1.7696240000000001</v>
      </c>
      <c r="L20" s="23"/>
      <c r="M20">
        <f t="shared" si="1"/>
        <v>685405.04255999997</v>
      </c>
      <c r="N20">
        <f t="shared" si="0"/>
        <v>19753412.520810001</v>
      </c>
      <c r="O20">
        <f t="shared" si="0"/>
        <v>1353107.6965999999</v>
      </c>
      <c r="P20">
        <f t="shared" si="0"/>
        <v>2076421.7874399999</v>
      </c>
      <c r="Q20">
        <f t="shared" si="0"/>
        <v>1841819.6384000001</v>
      </c>
      <c r="R20">
        <f t="shared" si="0"/>
        <v>1499836.2801600001</v>
      </c>
      <c r="S20">
        <f t="shared" si="0"/>
        <v>377658.09670999995</v>
      </c>
      <c r="T20">
        <f t="shared" si="0"/>
        <v>1002190.66896</v>
      </c>
      <c r="U20">
        <f t="shared" si="0"/>
        <v>2325605</v>
      </c>
      <c r="V20">
        <f t="shared" si="0"/>
        <v>884812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>
      <c r="A21" s="8">
        <v>1981</v>
      </c>
      <c r="B21" s="7">
        <v>2.2210179999999999</v>
      </c>
      <c r="C21" s="7">
        <v>2.0255939999999999</v>
      </c>
      <c r="D21" s="7">
        <v>0.51051599999999997</v>
      </c>
      <c r="E21" s="7">
        <v>0.69630800000000004</v>
      </c>
      <c r="F21" s="7">
        <v>0.108128</v>
      </c>
      <c r="G21" s="7">
        <v>0.27195999999999998</v>
      </c>
      <c r="H21" s="7">
        <v>0.23619599999999999</v>
      </c>
      <c r="I21" s="7">
        <v>0.42369299999999999</v>
      </c>
      <c r="J21" s="23">
        <v>0.49043100000000001</v>
      </c>
      <c r="K21" s="23">
        <v>1.771712</v>
      </c>
      <c r="L21" s="23"/>
      <c r="M21">
        <f t="shared" si="1"/>
        <v>717264.43699199997</v>
      </c>
      <c r="N21">
        <f t="shared" si="1"/>
        <v>19068476.029379997</v>
      </c>
      <c r="O21">
        <f t="shared" si="1"/>
        <v>1528923.9477599999</v>
      </c>
      <c r="P21">
        <f t="shared" si="1"/>
        <v>1934455.0332800001</v>
      </c>
      <c r="Q21">
        <f t="shared" si="1"/>
        <v>1685845.2736</v>
      </c>
      <c r="R21">
        <f t="shared" si="1"/>
        <v>1336590.9335999999</v>
      </c>
      <c r="S21">
        <f t="shared" si="1"/>
        <v>322050.88403999998</v>
      </c>
      <c r="T21">
        <f t="shared" si="1"/>
        <v>905406.51942000003</v>
      </c>
      <c r="U21">
        <f t="shared" si="1"/>
        <v>2452155</v>
      </c>
      <c r="V21">
        <f t="shared" si="1"/>
        <v>885856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>
      <c r="A22" s="8">
        <v>1982</v>
      </c>
      <c r="B22" s="7">
        <v>2.306314</v>
      </c>
      <c r="C22" s="7">
        <v>1.9478329999999999</v>
      </c>
      <c r="D22" s="7">
        <v>0.55523100000000003</v>
      </c>
      <c r="E22" s="7">
        <v>0.65138099999999999</v>
      </c>
      <c r="F22" s="7">
        <v>9.7447000000000006E-2</v>
      </c>
      <c r="G22" s="7">
        <v>0.24827299999999999</v>
      </c>
      <c r="H22" s="7">
        <v>0.22253800000000001</v>
      </c>
      <c r="I22" s="7">
        <v>0.514513</v>
      </c>
      <c r="J22" s="23">
        <v>0.48869099999999999</v>
      </c>
      <c r="K22" s="23">
        <v>1.744469</v>
      </c>
      <c r="L22" s="23"/>
      <c r="M22">
        <f t="shared" si="1"/>
        <v>744810.26841599995</v>
      </c>
      <c r="N22">
        <f t="shared" si="1"/>
        <v>18336451.860410001</v>
      </c>
      <c r="O22">
        <f t="shared" si="1"/>
        <v>1662839.1126600001</v>
      </c>
      <c r="P22">
        <f t="shared" si="1"/>
        <v>1809640.6389599999</v>
      </c>
      <c r="Q22">
        <f t="shared" si="1"/>
        <v>1519315.6664</v>
      </c>
      <c r="R22">
        <f t="shared" si="1"/>
        <v>1220177.38218</v>
      </c>
      <c r="S22">
        <f t="shared" si="1"/>
        <v>303428.33762000001</v>
      </c>
      <c r="T22">
        <f t="shared" si="1"/>
        <v>1099483.41022</v>
      </c>
      <c r="U22">
        <f t="shared" si="1"/>
        <v>2443455</v>
      </c>
      <c r="V22">
        <f t="shared" si="1"/>
        <v>872234.5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>
      <c r="A23" s="8">
        <v>1983</v>
      </c>
      <c r="B23" s="7">
        <v>2.3758599999999999</v>
      </c>
      <c r="C23" s="7">
        <v>1.8001560000000001</v>
      </c>
      <c r="D23" s="7">
        <v>0.72420799999999996</v>
      </c>
      <c r="E23" s="7">
        <v>0.60558900000000004</v>
      </c>
      <c r="F23" s="7">
        <v>8.6334999999999995E-2</v>
      </c>
      <c r="G23" s="7">
        <v>0.22367300000000001</v>
      </c>
      <c r="H23" s="7">
        <v>0.21701500000000001</v>
      </c>
      <c r="I23" s="7">
        <v>0.92213100000000003</v>
      </c>
      <c r="J23" s="23">
        <v>0.47592000000000001</v>
      </c>
      <c r="K23" s="23">
        <v>1.760038</v>
      </c>
      <c r="L23" s="23"/>
      <c r="M23">
        <f t="shared" si="1"/>
        <v>767269.73183999991</v>
      </c>
      <c r="N23">
        <f t="shared" si="1"/>
        <v>16946254.548119999</v>
      </c>
      <c r="O23">
        <f t="shared" si="1"/>
        <v>2168901.57088</v>
      </c>
      <c r="P23">
        <f t="shared" si="1"/>
        <v>1682423.1362400001</v>
      </c>
      <c r="Q23">
        <f t="shared" si="1"/>
        <v>1346066.2519999999</v>
      </c>
      <c r="R23">
        <f t="shared" si="1"/>
        <v>1099276.74618</v>
      </c>
      <c r="S23">
        <f t="shared" si="1"/>
        <v>295897.78234999999</v>
      </c>
      <c r="T23">
        <f t="shared" si="1"/>
        <v>1970538.6191400001</v>
      </c>
      <c r="U23">
        <f t="shared" si="1"/>
        <v>2379600</v>
      </c>
      <c r="V23">
        <f t="shared" si="1"/>
        <v>880019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>
      <c r="A24" s="8">
        <v>1984</v>
      </c>
      <c r="B24" s="7">
        <v>2.4454120000000001</v>
      </c>
      <c r="C24" s="7">
        <v>1.708712</v>
      </c>
      <c r="D24" s="7">
        <v>0.71681399999999995</v>
      </c>
      <c r="E24" s="7">
        <v>0.56354099999999996</v>
      </c>
      <c r="F24" s="7">
        <v>7.4828000000000006E-2</v>
      </c>
      <c r="G24" s="7">
        <v>0.19822500000000001</v>
      </c>
      <c r="H24" s="7">
        <v>0.203316</v>
      </c>
      <c r="I24" s="7">
        <v>1.335245</v>
      </c>
      <c r="J24" s="23">
        <v>0.447436</v>
      </c>
      <c r="K24" s="23">
        <v>1.7418039999999999</v>
      </c>
      <c r="L24" s="23"/>
      <c r="M24">
        <f t="shared" si="1"/>
        <v>789731.13292800006</v>
      </c>
      <c r="N24">
        <f t="shared" si="1"/>
        <v>16085421.76424</v>
      </c>
      <c r="O24">
        <f t="shared" si="1"/>
        <v>2146757.5760399997</v>
      </c>
      <c r="P24">
        <f t="shared" si="1"/>
        <v>1565607.0645599999</v>
      </c>
      <c r="Q24">
        <f t="shared" si="1"/>
        <v>1166658.3136</v>
      </c>
      <c r="R24">
        <f t="shared" si="1"/>
        <v>974208.47850000008</v>
      </c>
      <c r="S24">
        <f t="shared" si="1"/>
        <v>277219.33283999999</v>
      </c>
      <c r="T24">
        <f t="shared" si="1"/>
        <v>2853338.4503000001</v>
      </c>
      <c r="U24">
        <f t="shared" si="1"/>
        <v>2237180</v>
      </c>
      <c r="V24">
        <f t="shared" si="1"/>
        <v>870902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>
      <c r="A25" s="8">
        <v>1985</v>
      </c>
      <c r="B25" s="7">
        <v>3.0344419999999999</v>
      </c>
      <c r="C25" s="7">
        <v>1.650682</v>
      </c>
      <c r="D25" s="7">
        <v>0.704627</v>
      </c>
      <c r="E25" s="7">
        <v>0.53010500000000005</v>
      </c>
      <c r="F25" s="7">
        <v>6.5435999999999994E-2</v>
      </c>
      <c r="G25" s="7">
        <v>0.175895</v>
      </c>
      <c r="H25" s="7">
        <v>0.178453</v>
      </c>
      <c r="I25" s="7">
        <v>1.143443</v>
      </c>
      <c r="J25" s="23">
        <v>0.41879699999999997</v>
      </c>
      <c r="K25" s="23">
        <v>1.7308140000000001</v>
      </c>
      <c r="L25" s="23"/>
      <c r="M25">
        <f t="shared" si="1"/>
        <v>979954.83724799997</v>
      </c>
      <c r="N25">
        <f t="shared" si="1"/>
        <v>15539140.69114</v>
      </c>
      <c r="O25">
        <f t="shared" si="1"/>
        <v>2110259.21722</v>
      </c>
      <c r="P25">
        <f t="shared" si="1"/>
        <v>1472716.5068000001</v>
      </c>
      <c r="Q25">
        <f t="shared" si="1"/>
        <v>1020225.7631999999</v>
      </c>
      <c r="R25">
        <f t="shared" si="1"/>
        <v>864464.12069999997</v>
      </c>
      <c r="S25">
        <f t="shared" si="1"/>
        <v>243318.88097</v>
      </c>
      <c r="T25">
        <f t="shared" si="1"/>
        <v>2443469.0844200002</v>
      </c>
      <c r="U25">
        <f t="shared" si="1"/>
        <v>2093984.9999999998</v>
      </c>
      <c r="V25">
        <f t="shared" si="1"/>
        <v>865407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>
      <c r="A26" s="8">
        <v>1986</v>
      </c>
      <c r="B26" s="7">
        <v>3.0515500000000002</v>
      </c>
      <c r="C26" s="7">
        <v>1.526864</v>
      </c>
      <c r="D26" s="7">
        <v>0.69015099999999996</v>
      </c>
      <c r="E26" s="7">
        <v>0.49829200000000001</v>
      </c>
      <c r="F26" s="7">
        <v>5.4852999999999999E-2</v>
      </c>
      <c r="G26" s="7">
        <v>0.15292700000000001</v>
      </c>
      <c r="H26" s="7">
        <v>0.16952400000000001</v>
      </c>
      <c r="I26" s="7">
        <v>1.614617</v>
      </c>
      <c r="J26" s="23">
        <v>0.37026500000000001</v>
      </c>
      <c r="K26" s="23">
        <v>1.729922</v>
      </c>
      <c r="L26" s="23"/>
      <c r="M26">
        <f t="shared" si="1"/>
        <v>985479.76320000004</v>
      </c>
      <c r="N26">
        <f t="shared" si="1"/>
        <v>14373546.517279999</v>
      </c>
      <c r="O26">
        <f t="shared" si="1"/>
        <v>2066905.6238599999</v>
      </c>
      <c r="P26">
        <f t="shared" si="1"/>
        <v>1384334.9027200001</v>
      </c>
      <c r="Q26">
        <f t="shared" si="1"/>
        <v>855224.09360000002</v>
      </c>
      <c r="R26">
        <f t="shared" si="1"/>
        <v>751584.20981999999</v>
      </c>
      <c r="S26">
        <f t="shared" si="1"/>
        <v>231144.27876000002</v>
      </c>
      <c r="T26">
        <f t="shared" si="1"/>
        <v>3450339.6519800001</v>
      </c>
      <c r="U26">
        <f t="shared" si="1"/>
        <v>1851325</v>
      </c>
      <c r="V26">
        <f t="shared" si="1"/>
        <v>864961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>
      <c r="A27" s="8">
        <v>1987</v>
      </c>
      <c r="B27" s="7">
        <v>3.0981079999999999</v>
      </c>
      <c r="C27" s="7">
        <v>1.44356</v>
      </c>
      <c r="D27" s="7">
        <v>0.66685000000000005</v>
      </c>
      <c r="E27" s="7">
        <v>0.469472</v>
      </c>
      <c r="F27" s="7">
        <v>4.6191000000000003E-2</v>
      </c>
      <c r="G27" s="7">
        <v>0.13516800000000001</v>
      </c>
      <c r="H27" s="7">
        <v>0.166209</v>
      </c>
      <c r="I27" s="7">
        <v>1.299731</v>
      </c>
      <c r="J27" s="23">
        <v>0.328984</v>
      </c>
      <c r="K27" s="23">
        <v>1.7336480000000001</v>
      </c>
      <c r="L27" s="23"/>
      <c r="M27">
        <f t="shared" si="1"/>
        <v>1000515.389952</v>
      </c>
      <c r="N27">
        <f t="shared" si="1"/>
        <v>13589341.8212</v>
      </c>
      <c r="O27">
        <f t="shared" si="1"/>
        <v>1997122.3910000001</v>
      </c>
      <c r="P27">
        <f t="shared" si="1"/>
        <v>1304268.33152</v>
      </c>
      <c r="Q27">
        <f t="shared" si="1"/>
        <v>720173.11920000007</v>
      </c>
      <c r="R27">
        <f t="shared" si="1"/>
        <v>664304.76288000005</v>
      </c>
      <c r="S27">
        <f t="shared" si="1"/>
        <v>226624.30940999999</v>
      </c>
      <c r="T27">
        <f t="shared" si="1"/>
        <v>2777447.1631399998</v>
      </c>
      <c r="U27">
        <f t="shared" si="1"/>
        <v>1644920</v>
      </c>
      <c r="V27">
        <f t="shared" si="1"/>
        <v>866824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>
      <c r="A28" s="8">
        <v>1988</v>
      </c>
      <c r="B28" s="7">
        <v>3.1702729999999999</v>
      </c>
      <c r="C28" s="7">
        <v>1.3669979999999999</v>
      </c>
      <c r="D28" s="7">
        <v>0.64073999999999998</v>
      </c>
      <c r="E28" s="7">
        <v>0.43482999999999999</v>
      </c>
      <c r="F28" s="7">
        <v>3.7359000000000003E-2</v>
      </c>
      <c r="G28" s="7">
        <v>0.1172</v>
      </c>
      <c r="H28" s="7">
        <v>0.154192</v>
      </c>
      <c r="I28" s="7">
        <v>1.123221</v>
      </c>
      <c r="J28" s="23">
        <v>0.28676800000000002</v>
      </c>
      <c r="K28" s="23">
        <v>1.703829</v>
      </c>
      <c r="L28" s="23"/>
      <c r="M28">
        <f t="shared" si="1"/>
        <v>1023820.643712</v>
      </c>
      <c r="N28">
        <f t="shared" si="1"/>
        <v>12868604.762459999</v>
      </c>
      <c r="O28">
        <f t="shared" si="1"/>
        <v>1918926.5963999999</v>
      </c>
      <c r="P28">
        <f t="shared" si="1"/>
        <v>1208027.3128</v>
      </c>
      <c r="Q28">
        <f t="shared" si="1"/>
        <v>582471.64080000005</v>
      </c>
      <c r="R28">
        <f t="shared" si="1"/>
        <v>575998.152</v>
      </c>
      <c r="S28">
        <f t="shared" si="1"/>
        <v>210239.25008</v>
      </c>
      <c r="T28">
        <f t="shared" si="1"/>
        <v>2400255.88374</v>
      </c>
      <c r="U28">
        <f t="shared" si="1"/>
        <v>1433840</v>
      </c>
      <c r="V28">
        <f t="shared" si="1"/>
        <v>851914.5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>
      <c r="A29" s="8">
        <v>1989</v>
      </c>
      <c r="B29" s="7">
        <v>3.2510819999999998</v>
      </c>
      <c r="C29" s="7">
        <v>1.2965180000000001</v>
      </c>
      <c r="D29" s="7">
        <v>0.61596200000000001</v>
      </c>
      <c r="E29" s="7">
        <v>0.40244799999999997</v>
      </c>
      <c r="F29" s="7">
        <v>3.0293E-2</v>
      </c>
      <c r="G29" s="7">
        <v>0.105242</v>
      </c>
      <c r="H29" s="7">
        <v>0.14352100000000001</v>
      </c>
      <c r="I29" s="7">
        <v>0.96975199999999995</v>
      </c>
      <c r="J29" s="23">
        <v>0.25281700000000001</v>
      </c>
      <c r="K29" s="23">
        <v>1.689071</v>
      </c>
      <c r="L29" s="23"/>
      <c r="M29">
        <f t="shared" si="1"/>
        <v>1049917.4254079999</v>
      </c>
      <c r="N29">
        <f t="shared" si="1"/>
        <v>12205122.25286</v>
      </c>
      <c r="O29">
        <f t="shared" si="1"/>
        <v>1844719.95532</v>
      </c>
      <c r="P29">
        <f t="shared" si="1"/>
        <v>1118064.9356799999</v>
      </c>
      <c r="Q29">
        <f t="shared" si="1"/>
        <v>472304.22159999999</v>
      </c>
      <c r="R29">
        <f t="shared" si="1"/>
        <v>517228.64772000001</v>
      </c>
      <c r="S29">
        <f t="shared" si="1"/>
        <v>195689.44829</v>
      </c>
      <c r="T29">
        <f t="shared" si="1"/>
        <v>2072301.8388799999</v>
      </c>
      <c r="U29">
        <f t="shared" si="1"/>
        <v>1264085</v>
      </c>
      <c r="V29">
        <f t="shared" si="1"/>
        <v>844535.5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>
      <c r="A30" s="8">
        <v>1990</v>
      </c>
      <c r="B30" s="7">
        <v>3.3401749999999999</v>
      </c>
      <c r="C30" s="7">
        <v>1.2312749999999999</v>
      </c>
      <c r="D30" s="7">
        <v>0.59243999999999997</v>
      </c>
      <c r="E30" s="7">
        <v>0.37787500000000002</v>
      </c>
      <c r="F30" s="7">
        <v>2.7588000000000001E-2</v>
      </c>
      <c r="G30" s="7">
        <v>0.106059</v>
      </c>
      <c r="H30" s="7">
        <v>0.1593</v>
      </c>
      <c r="I30" s="7">
        <v>1.3036479999999999</v>
      </c>
      <c r="J30" s="23">
        <v>0.23357600000000001</v>
      </c>
      <c r="K30" s="23">
        <v>1.650007</v>
      </c>
      <c r="L30" s="23"/>
      <c r="M30">
        <f t="shared" si="1"/>
        <v>1078689.4752</v>
      </c>
      <c r="N30">
        <f t="shared" si="1"/>
        <v>11590939.656749999</v>
      </c>
      <c r="O30">
        <f t="shared" si="1"/>
        <v>1774274.8583999998</v>
      </c>
      <c r="P30">
        <f t="shared" si="1"/>
        <v>1049797.21</v>
      </c>
      <c r="Q30">
        <f t="shared" si="1"/>
        <v>430130.02559999999</v>
      </c>
      <c r="R30">
        <f t="shared" si="1"/>
        <v>521243.92494</v>
      </c>
      <c r="S30">
        <f t="shared" si="1"/>
        <v>217203.95699999999</v>
      </c>
      <c r="T30">
        <f t="shared" si="1"/>
        <v>2785817.55712</v>
      </c>
      <c r="U30">
        <f t="shared" si="1"/>
        <v>1167880</v>
      </c>
      <c r="V30">
        <f t="shared" si="1"/>
        <v>825003.5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>
      <c r="A31" s="8">
        <v>1991</v>
      </c>
      <c r="B31" s="7">
        <v>3.7925550000000001</v>
      </c>
      <c r="C31" s="7">
        <v>1.1786700000000001</v>
      </c>
      <c r="D31" s="7">
        <v>0.61924000000000001</v>
      </c>
      <c r="E31" s="7">
        <v>0.36782599999999999</v>
      </c>
      <c r="F31" s="7">
        <v>2.6370999999999999E-2</v>
      </c>
      <c r="G31" s="7">
        <v>0.11003300000000001</v>
      </c>
      <c r="H31" s="7">
        <v>0.16606499999999999</v>
      </c>
      <c r="I31" s="7">
        <v>1.1437470000000001</v>
      </c>
      <c r="J31" s="23">
        <v>0.22140899999999999</v>
      </c>
      <c r="K31" s="23">
        <v>1.6486940000000001</v>
      </c>
      <c r="L31" s="23"/>
      <c r="M31">
        <f t="shared" si="1"/>
        <v>1224782.8819200001</v>
      </c>
      <c r="N31">
        <f t="shared" si="1"/>
        <v>11095728.2859</v>
      </c>
      <c r="O31">
        <f t="shared" si="1"/>
        <v>1854537.1063999999</v>
      </c>
      <c r="P31">
        <f t="shared" si="1"/>
        <v>1021879.4801599999</v>
      </c>
      <c r="Q31">
        <f t="shared" si="1"/>
        <v>411155.53519999998</v>
      </c>
      <c r="R31">
        <f t="shared" si="1"/>
        <v>540774.78378000006</v>
      </c>
      <c r="S31">
        <f t="shared" si="1"/>
        <v>226427.96685</v>
      </c>
      <c r="T31">
        <f t="shared" si="1"/>
        <v>2444118.7141800001</v>
      </c>
      <c r="U31">
        <f t="shared" si="1"/>
        <v>1107045</v>
      </c>
      <c r="V31">
        <f t="shared" si="1"/>
        <v>824347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>
      <c r="A32" s="8">
        <v>1992</v>
      </c>
      <c r="B32" s="7">
        <v>3.7205560000000002</v>
      </c>
      <c r="C32" s="7">
        <v>1.131373</v>
      </c>
      <c r="D32" s="7">
        <v>0.59119900000000003</v>
      </c>
      <c r="E32" s="7">
        <v>0.35857800000000001</v>
      </c>
      <c r="F32" s="7">
        <v>2.4971E-2</v>
      </c>
      <c r="G32" s="7">
        <v>0.107832</v>
      </c>
      <c r="H32" s="7">
        <v>0.14364499999999999</v>
      </c>
      <c r="I32" s="7">
        <v>0.94328100000000004</v>
      </c>
      <c r="J32" s="23">
        <v>0.21360999999999999</v>
      </c>
      <c r="K32" s="23">
        <v>1.6410830000000001</v>
      </c>
      <c r="L32" s="23"/>
      <c r="M32">
        <f t="shared" si="1"/>
        <v>1201531.2368640001</v>
      </c>
      <c r="N32">
        <f t="shared" si="1"/>
        <v>10650485.20621</v>
      </c>
      <c r="O32">
        <f t="shared" si="1"/>
        <v>1770558.2371400001</v>
      </c>
      <c r="P32">
        <f t="shared" si="1"/>
        <v>996187.05648000003</v>
      </c>
      <c r="Q32">
        <f t="shared" si="1"/>
        <v>389327.85519999999</v>
      </c>
      <c r="R32">
        <f t="shared" si="1"/>
        <v>529957.61711999995</v>
      </c>
      <c r="S32">
        <f t="shared" si="1"/>
        <v>195858.52104999998</v>
      </c>
      <c r="T32">
        <f t="shared" si="1"/>
        <v>2015734.90014</v>
      </c>
      <c r="U32">
        <f t="shared" si="1"/>
        <v>1068050</v>
      </c>
      <c r="V32">
        <f t="shared" si="1"/>
        <v>820541.5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>
      <c r="A33" s="8">
        <v>1993</v>
      </c>
      <c r="B33" s="7">
        <v>3.6777929999999999</v>
      </c>
      <c r="C33" s="7">
        <v>1.0865009999999999</v>
      </c>
      <c r="D33" s="7">
        <v>0.56912200000000002</v>
      </c>
      <c r="E33" s="7">
        <v>0.34883199999999998</v>
      </c>
      <c r="F33" s="7">
        <v>2.3734000000000002E-2</v>
      </c>
      <c r="G33" s="7">
        <v>0.10320799999999999</v>
      </c>
      <c r="H33" s="7">
        <v>0.149176</v>
      </c>
      <c r="I33" s="7">
        <v>1.3046169999999999</v>
      </c>
      <c r="J33" s="23">
        <v>0.20717099999999999</v>
      </c>
      <c r="K33" s="23">
        <v>1.638917</v>
      </c>
      <c r="L33" s="23"/>
      <c r="M33">
        <f t="shared" si="1"/>
        <v>1187721.1825919999</v>
      </c>
      <c r="N33">
        <f t="shared" si="1"/>
        <v>10228070.51877</v>
      </c>
      <c r="O33">
        <f t="shared" si="1"/>
        <v>1704440.7129200001</v>
      </c>
      <c r="P33">
        <f t="shared" si="1"/>
        <v>969111.10911999992</v>
      </c>
      <c r="Q33">
        <f t="shared" si="1"/>
        <v>370041.54080000002</v>
      </c>
      <c r="R33">
        <f t="shared" si="1"/>
        <v>507232.22927999997</v>
      </c>
      <c r="S33">
        <f t="shared" si="1"/>
        <v>203399.98423999999</v>
      </c>
      <c r="T33">
        <f t="shared" si="1"/>
        <v>2787888.2519799997</v>
      </c>
      <c r="U33">
        <f t="shared" si="1"/>
        <v>1035855</v>
      </c>
      <c r="V33">
        <f t="shared" si="1"/>
        <v>819458.5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>
      <c r="A34" s="8">
        <v>1994</v>
      </c>
      <c r="B34" s="7">
        <v>3.6332490000000002</v>
      </c>
      <c r="C34" s="7">
        <v>1.053186</v>
      </c>
      <c r="D34" s="7">
        <v>0.735317</v>
      </c>
      <c r="E34" s="7">
        <v>0.34706300000000001</v>
      </c>
      <c r="F34" s="7">
        <v>2.1981000000000001E-2</v>
      </c>
      <c r="G34" s="7">
        <v>0.103023</v>
      </c>
      <c r="H34" s="7">
        <v>0.14607300000000001</v>
      </c>
      <c r="I34" s="7">
        <v>0.98315200000000003</v>
      </c>
      <c r="J34" s="23">
        <v>0.20427400000000001</v>
      </c>
      <c r="K34" s="23">
        <v>1.6189469999999999</v>
      </c>
      <c r="L34" s="23"/>
      <c r="M34">
        <f t="shared" si="1"/>
        <v>1173335.965056</v>
      </c>
      <c r="N34">
        <f t="shared" si="1"/>
        <v>9914450.7712200005</v>
      </c>
      <c r="O34">
        <f t="shared" si="1"/>
        <v>2202171.4706199998</v>
      </c>
      <c r="P34">
        <f t="shared" si="1"/>
        <v>964196.54408000002</v>
      </c>
      <c r="Q34">
        <f t="shared" si="1"/>
        <v>342710.16720000003</v>
      </c>
      <c r="R34">
        <f t="shared" si="1"/>
        <v>506323.01718000002</v>
      </c>
      <c r="S34">
        <f t="shared" si="1"/>
        <v>199169.07477000001</v>
      </c>
      <c r="T34">
        <f t="shared" si="1"/>
        <v>2100936.83488</v>
      </c>
      <c r="U34">
        <f t="shared" si="1"/>
        <v>1021370</v>
      </c>
      <c r="V34">
        <f t="shared" si="1"/>
        <v>809473.5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>
      <c r="A35" s="8">
        <v>1995</v>
      </c>
      <c r="B35" s="7">
        <v>3.6052409999999999</v>
      </c>
      <c r="C35" s="7">
        <v>1.019115</v>
      </c>
      <c r="D35" s="7">
        <v>0.80808899999999995</v>
      </c>
      <c r="E35" s="7">
        <v>0.34254099999999998</v>
      </c>
      <c r="F35" s="7">
        <v>2.0760000000000001E-2</v>
      </c>
      <c r="G35" s="7">
        <v>0.10408000000000001</v>
      </c>
      <c r="H35" s="7">
        <v>0.148031</v>
      </c>
      <c r="I35" s="7">
        <v>0.85628000000000004</v>
      </c>
      <c r="J35" s="23">
        <v>0.20080600000000001</v>
      </c>
      <c r="K35" s="23">
        <v>1.6402620000000001</v>
      </c>
      <c r="L35" s="23"/>
      <c r="M35">
        <f t="shared" si="1"/>
        <v>1164290.9495039999</v>
      </c>
      <c r="N35">
        <f t="shared" si="1"/>
        <v>9593714.2135499995</v>
      </c>
      <c r="O35">
        <f t="shared" si="1"/>
        <v>2420113.4225399997</v>
      </c>
      <c r="P35">
        <f t="shared" si="1"/>
        <v>951633.70455999998</v>
      </c>
      <c r="Q35">
        <f t="shared" si="1"/>
        <v>323673.31200000003</v>
      </c>
      <c r="R35">
        <f t="shared" si="1"/>
        <v>511517.81280000001</v>
      </c>
      <c r="S35">
        <f t="shared" si="1"/>
        <v>201838.78818999999</v>
      </c>
      <c r="T35">
        <f t="shared" si="1"/>
        <v>1829818.9832000001</v>
      </c>
      <c r="U35">
        <f t="shared" si="1"/>
        <v>1004030.0000000001</v>
      </c>
      <c r="V35">
        <f t="shared" si="1"/>
        <v>820131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>
      <c r="A36" s="8">
        <v>1996</v>
      </c>
      <c r="B36" s="7">
        <v>3.5808800000000001</v>
      </c>
      <c r="C36" s="7">
        <v>0.98013499999999998</v>
      </c>
      <c r="D36" s="7">
        <v>0.73198600000000003</v>
      </c>
      <c r="E36" s="7">
        <v>0.33585999999999999</v>
      </c>
      <c r="F36" s="7">
        <v>1.9309E-2</v>
      </c>
      <c r="G36" s="7">
        <v>9.9171999999999996E-2</v>
      </c>
      <c r="H36" s="7">
        <v>0.14385400000000001</v>
      </c>
      <c r="I36" s="7">
        <v>1.1864939999999999</v>
      </c>
      <c r="J36" s="23">
        <v>0.196047</v>
      </c>
      <c r="K36" s="23">
        <v>1.633691</v>
      </c>
      <c r="L36" s="23"/>
      <c r="M36">
        <f t="shared" si="1"/>
        <v>1156423.7107200001</v>
      </c>
      <c r="N36">
        <f t="shared" si="1"/>
        <v>9226765.4589499999</v>
      </c>
      <c r="O36">
        <f t="shared" si="1"/>
        <v>2192195.5919599999</v>
      </c>
      <c r="P36">
        <f t="shared" si="1"/>
        <v>933072.81759999995</v>
      </c>
      <c r="Q36">
        <f t="shared" si="1"/>
        <v>301050.48080000002</v>
      </c>
      <c r="R36">
        <f t="shared" si="1"/>
        <v>487396.66151999997</v>
      </c>
      <c r="S36">
        <f t="shared" si="1"/>
        <v>196143.49046</v>
      </c>
      <c r="T36">
        <f t="shared" si="1"/>
        <v>2535466.4883599998</v>
      </c>
      <c r="U36">
        <f t="shared" si="1"/>
        <v>980235</v>
      </c>
      <c r="V36">
        <f t="shared" si="1"/>
        <v>816845.5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>
      <c r="A37" s="8">
        <v>1997</v>
      </c>
      <c r="B37" s="7">
        <v>3.7269359999999998</v>
      </c>
      <c r="C37" s="7">
        <v>0.95537300000000003</v>
      </c>
      <c r="D37" s="7">
        <v>0.924257</v>
      </c>
      <c r="E37" s="7">
        <v>0.33231899999999998</v>
      </c>
      <c r="F37" s="7">
        <v>1.8461000000000002E-2</v>
      </c>
      <c r="G37" s="7">
        <v>9.5379000000000005E-2</v>
      </c>
      <c r="H37" s="7">
        <v>0.16092100000000001</v>
      </c>
      <c r="I37" s="7">
        <v>1.464782</v>
      </c>
      <c r="J37" s="23">
        <v>0.196382</v>
      </c>
      <c r="K37" s="23">
        <v>1.629435</v>
      </c>
      <c r="L37" s="23"/>
      <c r="M37">
        <f t="shared" si="1"/>
        <v>1203591.619584</v>
      </c>
      <c r="N37">
        <f t="shared" si="1"/>
        <v>8993661.6862100009</v>
      </c>
      <c r="O37">
        <f t="shared" si="1"/>
        <v>2768020.3190199998</v>
      </c>
      <c r="P37">
        <f t="shared" si="1"/>
        <v>923235.35303999996</v>
      </c>
      <c r="Q37">
        <f t="shared" si="1"/>
        <v>287829.14320000005</v>
      </c>
      <c r="R37">
        <f t="shared" si="1"/>
        <v>468755.35614000005</v>
      </c>
      <c r="S37">
        <f t="shared" si="1"/>
        <v>219414.17429000002</v>
      </c>
      <c r="T37">
        <f t="shared" si="1"/>
        <v>3130151.2470800001</v>
      </c>
      <c r="U37">
        <f t="shared" si="1"/>
        <v>981910</v>
      </c>
      <c r="V37">
        <f t="shared" si="1"/>
        <v>814717.5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>
      <c r="A38" s="8">
        <v>1998</v>
      </c>
      <c r="B38" s="7">
        <v>3.6784690000000002</v>
      </c>
      <c r="C38" s="7">
        <v>0.92374999999999996</v>
      </c>
      <c r="D38" s="7">
        <v>0.81187399999999998</v>
      </c>
      <c r="E38" s="7">
        <v>0.32502999999999999</v>
      </c>
      <c r="F38" s="7">
        <v>1.7132999999999999E-2</v>
      </c>
      <c r="G38" s="7">
        <v>9.5600000000000004E-2</v>
      </c>
      <c r="H38" s="7">
        <v>0.14469199999999999</v>
      </c>
      <c r="I38" s="7">
        <v>1.189848</v>
      </c>
      <c r="J38" s="23">
        <v>0.193436</v>
      </c>
      <c r="K38" s="23">
        <v>1.6197090000000001</v>
      </c>
      <c r="L38" s="23"/>
      <c r="M38">
        <f t="shared" si="1"/>
        <v>1187939.4927360001</v>
      </c>
      <c r="N38">
        <f t="shared" si="1"/>
        <v>8695970.0374999996</v>
      </c>
      <c r="O38">
        <f t="shared" si="1"/>
        <v>2431448.9676399999</v>
      </c>
      <c r="P38">
        <f t="shared" si="1"/>
        <v>902985.34479999996</v>
      </c>
      <c r="Q38">
        <f t="shared" si="1"/>
        <v>267124.02960000001</v>
      </c>
      <c r="R38">
        <f t="shared" si="1"/>
        <v>469841.49600000004</v>
      </c>
      <c r="S38">
        <f t="shared" si="1"/>
        <v>197286.09507999997</v>
      </c>
      <c r="T38">
        <f t="shared" si="1"/>
        <v>2542633.7851200001</v>
      </c>
      <c r="U38">
        <f t="shared" si="1"/>
        <v>967180</v>
      </c>
      <c r="V38">
        <f t="shared" si="1"/>
        <v>809854.5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>
      <c r="A39" s="8">
        <v>1999</v>
      </c>
      <c r="B39" s="7">
        <v>3.63815</v>
      </c>
      <c r="C39" s="7">
        <v>0.89968599999999999</v>
      </c>
      <c r="D39" s="7">
        <v>0.73754200000000003</v>
      </c>
      <c r="E39" s="7">
        <v>0.323378</v>
      </c>
      <c r="F39" s="7">
        <v>1.6598000000000002E-2</v>
      </c>
      <c r="G39" s="7">
        <v>9.5739000000000005E-2</v>
      </c>
      <c r="H39" s="7">
        <v>0.14979899999999999</v>
      </c>
      <c r="I39" s="7">
        <v>1.604177</v>
      </c>
      <c r="J39" s="23">
        <v>0.19720699999999999</v>
      </c>
      <c r="K39" s="23">
        <v>1.6247370000000001</v>
      </c>
      <c r="L39" s="23"/>
      <c r="M39">
        <f t="shared" si="1"/>
        <v>1174918.7135999999</v>
      </c>
      <c r="N39">
        <f t="shared" si="1"/>
        <v>8469437.0762200002</v>
      </c>
      <c r="O39">
        <f t="shared" si="1"/>
        <v>2208835.03412</v>
      </c>
      <c r="P39">
        <f t="shared" si="1"/>
        <v>898395.82447999995</v>
      </c>
      <c r="Q39">
        <f t="shared" si="1"/>
        <v>258782.73760000002</v>
      </c>
      <c r="R39">
        <f t="shared" si="1"/>
        <v>470524.63374000002</v>
      </c>
      <c r="S39">
        <f t="shared" si="1"/>
        <v>204249.43850999998</v>
      </c>
      <c r="T39">
        <f t="shared" si="1"/>
        <v>3428029.9983799998</v>
      </c>
      <c r="U39">
        <f t="shared" si="1"/>
        <v>986035</v>
      </c>
      <c r="V39">
        <f t="shared" si="1"/>
        <v>812368.5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>
      <c r="A40" s="8">
        <v>2000</v>
      </c>
      <c r="B40" s="7">
        <v>3.6072549999999999</v>
      </c>
      <c r="C40" s="7">
        <v>0.87271100000000001</v>
      </c>
      <c r="D40" s="7">
        <v>0.66420599999999996</v>
      </c>
      <c r="E40" s="7">
        <v>0.32560099999999997</v>
      </c>
      <c r="F40" s="7">
        <v>1.6646999999999999E-2</v>
      </c>
      <c r="G40" s="7">
        <v>0.100157</v>
      </c>
      <c r="H40" s="7">
        <v>0.14552000000000001</v>
      </c>
      <c r="I40" s="7">
        <v>1.5577449999999999</v>
      </c>
      <c r="J40" s="23">
        <v>0.197994</v>
      </c>
      <c r="K40" s="23">
        <v>1.6096440000000001</v>
      </c>
      <c r="L40" s="23"/>
      <c r="M40">
        <f t="shared" si="1"/>
        <v>1164941.3587199999</v>
      </c>
      <c r="N40">
        <f t="shared" si="1"/>
        <v>8215500.6304700002</v>
      </c>
      <c r="O40">
        <f t="shared" si="1"/>
        <v>1989203.98116</v>
      </c>
      <c r="P40">
        <f t="shared" si="1"/>
        <v>904571.67415999994</v>
      </c>
      <c r="Q40">
        <f t="shared" si="1"/>
        <v>259546.70639999997</v>
      </c>
      <c r="R40">
        <f t="shared" si="1"/>
        <v>492237.60161999997</v>
      </c>
      <c r="S40">
        <f t="shared" si="1"/>
        <v>198415.06480000002</v>
      </c>
      <c r="T40">
        <f t="shared" si="1"/>
        <v>3328807.6003</v>
      </c>
      <c r="U40">
        <f t="shared" si="1"/>
        <v>989970</v>
      </c>
      <c r="V40">
        <f t="shared" si="1"/>
        <v>804822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>
      <c r="A41" s="8">
        <v>2001</v>
      </c>
      <c r="B41" s="7">
        <v>3.7158289999999998</v>
      </c>
      <c r="C41" s="7">
        <v>0.85380699999999998</v>
      </c>
      <c r="D41" s="7">
        <v>0.75904199999999999</v>
      </c>
      <c r="E41" s="7">
        <v>0.33201199999999997</v>
      </c>
      <c r="F41" s="7">
        <v>1.7732999999999999E-2</v>
      </c>
      <c r="G41" s="7">
        <v>0.107117</v>
      </c>
      <c r="H41" s="7">
        <v>0.153221</v>
      </c>
      <c r="I41" s="7">
        <v>1.8764749999999999</v>
      </c>
      <c r="J41" s="23">
        <v>0.21030699999999999</v>
      </c>
      <c r="K41" s="23">
        <v>1.6248629999999999</v>
      </c>
      <c r="L41" s="23"/>
      <c r="M41">
        <f t="shared" si="1"/>
        <v>1200004.6805759999</v>
      </c>
      <c r="N41">
        <f t="shared" si="1"/>
        <v>8037542.7223899998</v>
      </c>
      <c r="O41">
        <f t="shared" si="1"/>
        <v>2273224.5241200002</v>
      </c>
      <c r="P41">
        <f t="shared" si="1"/>
        <v>922382.45791999996</v>
      </c>
      <c r="Q41">
        <f t="shared" si="1"/>
        <v>276478.74959999998</v>
      </c>
      <c r="R41">
        <f t="shared" si="1"/>
        <v>526443.63522000005</v>
      </c>
      <c r="S41">
        <f t="shared" si="1"/>
        <v>208915.30129</v>
      </c>
      <c r="T41">
        <f t="shared" si="1"/>
        <v>4009914.4864999996</v>
      </c>
      <c r="U41">
        <f t="shared" si="1"/>
        <v>1051535</v>
      </c>
      <c r="V41">
        <f t="shared" si="1"/>
        <v>812431.5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>
      <c r="A42" s="8">
        <v>2002</v>
      </c>
      <c r="B42" s="7">
        <v>3.6823579999999998</v>
      </c>
      <c r="C42" s="7">
        <v>0.84170100000000003</v>
      </c>
      <c r="D42" s="7">
        <v>0.691527</v>
      </c>
      <c r="E42" s="7">
        <v>0.34260099999999999</v>
      </c>
      <c r="F42" s="7">
        <v>1.9425999999999999E-2</v>
      </c>
      <c r="G42" s="7">
        <v>0.11515499999999999</v>
      </c>
      <c r="H42" s="7">
        <v>0.16281300000000001</v>
      </c>
      <c r="I42" s="7">
        <v>1.4738420000000001</v>
      </c>
      <c r="J42" s="23">
        <v>0.22254499999999999</v>
      </c>
      <c r="K42" s="23">
        <v>1.618563</v>
      </c>
      <c r="L42" s="23"/>
      <c r="M42">
        <f t="shared" si="1"/>
        <v>1189195.4219519999</v>
      </c>
      <c r="N42">
        <f t="shared" si="1"/>
        <v>7923579.6227700002</v>
      </c>
      <c r="O42">
        <f t="shared" si="1"/>
        <v>2071026.55122</v>
      </c>
      <c r="P42">
        <f t="shared" si="1"/>
        <v>951800.39416000003</v>
      </c>
      <c r="Q42">
        <f t="shared" si="1"/>
        <v>302874.65119999996</v>
      </c>
      <c r="R42">
        <f t="shared" si="1"/>
        <v>565947.67229999998</v>
      </c>
      <c r="S42">
        <f t="shared" si="1"/>
        <v>221993.89737000002</v>
      </c>
      <c r="T42">
        <f t="shared" si="1"/>
        <v>3149511.9234800003</v>
      </c>
      <c r="U42">
        <f t="shared" si="1"/>
        <v>1112725</v>
      </c>
      <c r="V42">
        <f t="shared" si="1"/>
        <v>809281.5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>
      <c r="A43" s="8">
        <v>2003</v>
      </c>
      <c r="B43" s="7">
        <v>3.6663380000000001</v>
      </c>
      <c r="C43" s="7">
        <v>0.83487</v>
      </c>
      <c r="D43" s="7">
        <v>0.610182</v>
      </c>
      <c r="E43" s="7">
        <v>0.35692699999999999</v>
      </c>
      <c r="F43" s="7">
        <v>2.2227E-2</v>
      </c>
      <c r="G43" s="7">
        <v>0.124363</v>
      </c>
      <c r="H43" s="7">
        <v>0.17049400000000001</v>
      </c>
      <c r="I43" s="7">
        <v>1.8510850000000001</v>
      </c>
      <c r="J43" s="23">
        <v>0.23591500000000001</v>
      </c>
      <c r="K43" s="23">
        <v>1.609316</v>
      </c>
      <c r="L43" s="23"/>
      <c r="M43">
        <f t="shared" si="1"/>
        <v>1184021.859072</v>
      </c>
      <c r="N43">
        <f t="shared" si="1"/>
        <v>7859274.1599000003</v>
      </c>
      <c r="O43">
        <f t="shared" si="1"/>
        <v>1827409.6645200001</v>
      </c>
      <c r="P43">
        <f t="shared" si="1"/>
        <v>991600.31432</v>
      </c>
      <c r="Q43">
        <f t="shared" si="1"/>
        <v>346545.60240000003</v>
      </c>
      <c r="R43">
        <f t="shared" si="1"/>
        <v>611201.86158000003</v>
      </c>
      <c r="S43">
        <f t="shared" si="1"/>
        <v>232466.86406000002</v>
      </c>
      <c r="T43">
        <f t="shared" si="1"/>
        <v>3955657.5799000002</v>
      </c>
      <c r="U43">
        <f t="shared" si="1"/>
        <v>1179575</v>
      </c>
      <c r="V43">
        <f t="shared" si="1"/>
        <v>804658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>
      <c r="A44" s="8">
        <v>2004</v>
      </c>
      <c r="B44" s="7">
        <v>4.0075209999999997</v>
      </c>
      <c r="C44" s="7">
        <v>0.82793399999999995</v>
      </c>
      <c r="D44" s="7">
        <v>0.85122399999999998</v>
      </c>
      <c r="E44" s="7">
        <v>0.372058</v>
      </c>
      <c r="F44" s="7">
        <v>2.5325E-2</v>
      </c>
      <c r="G44" s="7">
        <v>0.129409</v>
      </c>
      <c r="H44" s="7">
        <v>0.16761899999999999</v>
      </c>
      <c r="I44" s="7">
        <v>1.3954660000000001</v>
      </c>
      <c r="J44" s="23">
        <v>0.249696</v>
      </c>
      <c r="K44" s="23">
        <v>1.61033</v>
      </c>
      <c r="L44" s="23"/>
      <c r="M44">
        <f t="shared" si="1"/>
        <v>1294204.8618239998</v>
      </c>
      <c r="N44">
        <f t="shared" si="1"/>
        <v>7793980.2511799997</v>
      </c>
      <c r="O44">
        <f t="shared" si="1"/>
        <v>2549296.7086399999</v>
      </c>
      <c r="P44">
        <f t="shared" si="1"/>
        <v>1033636.65328</v>
      </c>
      <c r="Q44">
        <f t="shared" si="1"/>
        <v>394847.14</v>
      </c>
      <c r="R44">
        <f t="shared" si="1"/>
        <v>636001.23593999993</v>
      </c>
      <c r="S44">
        <f t="shared" si="1"/>
        <v>228546.83030999999</v>
      </c>
      <c r="T44">
        <f t="shared" si="1"/>
        <v>2982027.1140400004</v>
      </c>
      <c r="U44">
        <f t="shared" si="1"/>
        <v>1248480</v>
      </c>
      <c r="V44">
        <f t="shared" si="1"/>
        <v>805165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>
      <c r="A45" s="8">
        <v>2005</v>
      </c>
      <c r="B45" s="7">
        <v>3.8914119999999999</v>
      </c>
      <c r="C45" s="7">
        <v>0.82502200000000003</v>
      </c>
      <c r="D45" s="7">
        <v>0.88165499999999997</v>
      </c>
      <c r="E45" s="7">
        <v>0.38780399999999998</v>
      </c>
      <c r="F45" s="7">
        <v>2.7812E-2</v>
      </c>
      <c r="G45" s="7">
        <v>0.131718</v>
      </c>
      <c r="H45" s="7">
        <v>0.18531900000000001</v>
      </c>
      <c r="I45" s="7">
        <v>1.414075</v>
      </c>
      <c r="J45" s="23">
        <v>0.26286599999999999</v>
      </c>
      <c r="K45" s="23">
        <v>1.6263719999999999</v>
      </c>
      <c r="L45" s="23"/>
      <c r="M45">
        <f t="shared" ref="M45:V55" si="2">B45*M$4</f>
        <v>1256708.156928</v>
      </c>
      <c r="N45">
        <f t="shared" si="2"/>
        <v>7766567.3529400006</v>
      </c>
      <c r="O45">
        <f t="shared" si="2"/>
        <v>2640433.2933</v>
      </c>
      <c r="P45">
        <f t="shared" si="2"/>
        <v>1077381.56064</v>
      </c>
      <c r="Q45">
        <f t="shared" si="2"/>
        <v>433622.45439999999</v>
      </c>
      <c r="R45">
        <f t="shared" si="2"/>
        <v>647349.18588</v>
      </c>
      <c r="S45">
        <f t="shared" si="2"/>
        <v>252680.60331000001</v>
      </c>
      <c r="T45">
        <f t="shared" si="2"/>
        <v>3021793.4304999998</v>
      </c>
      <c r="U45">
        <f t="shared" si="2"/>
        <v>1314330</v>
      </c>
      <c r="V45">
        <f t="shared" si="2"/>
        <v>813186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>
      <c r="A46" s="8">
        <v>2006</v>
      </c>
      <c r="B46" s="7">
        <v>3.7938909999999999</v>
      </c>
      <c r="C46" s="7">
        <v>0.82115700000000003</v>
      </c>
      <c r="D46" s="7">
        <v>0.72583299999999995</v>
      </c>
      <c r="E46" s="7">
        <v>0.39400000000000002</v>
      </c>
      <c r="F46" s="7">
        <v>3.0976E-2</v>
      </c>
      <c r="G46" s="7">
        <v>0.13506599999999999</v>
      </c>
      <c r="H46" s="7">
        <v>0.176262</v>
      </c>
      <c r="I46" s="7">
        <v>1.643011</v>
      </c>
      <c r="J46" s="23">
        <v>0.283169</v>
      </c>
      <c r="K46" s="23">
        <v>1.6062920000000001</v>
      </c>
      <c r="L46" s="23"/>
      <c r="M46">
        <f t="shared" si="2"/>
        <v>1225214.3351040001</v>
      </c>
      <c r="N46">
        <f t="shared" si="2"/>
        <v>7730183.1318899998</v>
      </c>
      <c r="O46">
        <f t="shared" si="2"/>
        <v>2173768.21838</v>
      </c>
      <c r="P46">
        <f t="shared" si="2"/>
        <v>1094595.04</v>
      </c>
      <c r="Q46">
        <f t="shared" si="2"/>
        <v>482953.01120000001</v>
      </c>
      <c r="R46">
        <f t="shared" si="2"/>
        <v>663803.4675599999</v>
      </c>
      <c r="S46">
        <f t="shared" si="2"/>
        <v>240331.47438</v>
      </c>
      <c r="T46">
        <f t="shared" si="2"/>
        <v>3511015.9263399998</v>
      </c>
      <c r="U46">
        <f t="shared" si="2"/>
        <v>1415845</v>
      </c>
      <c r="V46">
        <f t="shared" si="2"/>
        <v>803146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>
      <c r="A47" s="8">
        <v>2007</v>
      </c>
      <c r="B47" s="7">
        <v>3.7025969999999999</v>
      </c>
      <c r="C47" s="7">
        <v>0.81511</v>
      </c>
      <c r="D47" s="7">
        <v>0.60270000000000001</v>
      </c>
      <c r="E47" s="7">
        <v>0.40449600000000002</v>
      </c>
      <c r="F47" s="7">
        <v>3.4513000000000002E-2</v>
      </c>
      <c r="G47" s="7">
        <v>0.140205</v>
      </c>
      <c r="H47" s="7">
        <v>0.17885899999999999</v>
      </c>
      <c r="I47" s="7">
        <v>1.234307</v>
      </c>
      <c r="J47" s="23">
        <v>0.29552099999999998</v>
      </c>
      <c r="K47" s="23">
        <v>1.6094820000000001</v>
      </c>
      <c r="L47" s="23"/>
      <c r="M47">
        <f t="shared" si="2"/>
        <v>1195731.485568</v>
      </c>
      <c r="N47">
        <f t="shared" si="2"/>
        <v>7673258.0647</v>
      </c>
      <c r="O47">
        <f t="shared" si="2"/>
        <v>1805002.122</v>
      </c>
      <c r="P47">
        <f t="shared" si="2"/>
        <v>1123754.60736</v>
      </c>
      <c r="Q47">
        <f t="shared" si="2"/>
        <v>538099.08559999999</v>
      </c>
      <c r="R47">
        <f t="shared" si="2"/>
        <v>689059.90529999998</v>
      </c>
      <c r="S47">
        <f t="shared" si="2"/>
        <v>243872.45791</v>
      </c>
      <c r="T47">
        <f t="shared" si="2"/>
        <v>2637640.0005800002</v>
      </c>
      <c r="U47">
        <f t="shared" si="2"/>
        <v>1477605</v>
      </c>
      <c r="V47">
        <f t="shared" si="2"/>
        <v>804741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>
      <c r="A48" s="8">
        <v>2008</v>
      </c>
      <c r="B48" s="7">
        <v>3.6176590000000002</v>
      </c>
      <c r="C48" s="7">
        <v>0.81584900000000005</v>
      </c>
      <c r="D48" s="7">
        <v>0.57850199999999996</v>
      </c>
      <c r="E48" s="7">
        <v>0.41696699999999998</v>
      </c>
      <c r="F48" s="7">
        <v>3.8123999999999998E-2</v>
      </c>
      <c r="G48" s="7">
        <v>0.14587600000000001</v>
      </c>
      <c r="H48" s="7">
        <v>0.18206900000000001</v>
      </c>
      <c r="I48" s="7">
        <v>1.5821419999999999</v>
      </c>
      <c r="J48" s="23">
        <v>0.30390200000000001</v>
      </c>
      <c r="K48" s="23">
        <v>1.5931900000000001</v>
      </c>
      <c r="L48" s="23"/>
      <c r="M48">
        <f t="shared" si="2"/>
        <v>1168301.268096</v>
      </c>
      <c r="N48">
        <f t="shared" si="2"/>
        <v>7680214.8407300003</v>
      </c>
      <c r="O48">
        <f t="shared" si="2"/>
        <v>1732532.49972</v>
      </c>
      <c r="P48">
        <f t="shared" si="2"/>
        <v>1158401.0407199999</v>
      </c>
      <c r="Q48">
        <f t="shared" si="2"/>
        <v>594398.90879999998</v>
      </c>
      <c r="R48">
        <f t="shared" si="2"/>
        <v>716930.94215999998</v>
      </c>
      <c r="S48">
        <f t="shared" si="2"/>
        <v>248249.26081000001</v>
      </c>
      <c r="T48">
        <f t="shared" si="2"/>
        <v>3380942.5254799998</v>
      </c>
      <c r="U48">
        <f t="shared" si="2"/>
        <v>1519510</v>
      </c>
      <c r="V48">
        <f t="shared" si="2"/>
        <v>796595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50">
      <c r="A49" s="8">
        <v>2009</v>
      </c>
      <c r="B49" s="7">
        <v>3.5450629999999999</v>
      </c>
      <c r="C49" s="7">
        <v>0.81409600000000004</v>
      </c>
      <c r="D49" s="7">
        <v>0.48636099999999999</v>
      </c>
      <c r="E49" s="7">
        <v>0.43644899999999998</v>
      </c>
      <c r="F49" s="7">
        <v>4.1977E-2</v>
      </c>
      <c r="G49" s="7">
        <v>0.151037</v>
      </c>
      <c r="H49" s="7">
        <v>0.179477</v>
      </c>
      <c r="I49" s="7">
        <v>1.8535470000000001</v>
      </c>
      <c r="J49" s="23">
        <v>0.324299</v>
      </c>
      <c r="K49" s="23">
        <v>1.597834</v>
      </c>
      <c r="L49" s="23"/>
      <c r="M49">
        <f t="shared" si="2"/>
        <v>1144856.8254720001</v>
      </c>
      <c r="N49">
        <f t="shared" si="2"/>
        <v>7663712.5019200006</v>
      </c>
      <c r="O49">
        <f t="shared" si="2"/>
        <v>1456583.1044600001</v>
      </c>
      <c r="P49">
        <f t="shared" si="2"/>
        <v>1212525.15384</v>
      </c>
      <c r="Q49">
        <f t="shared" si="2"/>
        <v>654471.80240000004</v>
      </c>
      <c r="R49">
        <f t="shared" si="2"/>
        <v>742295.50242000003</v>
      </c>
      <c r="S49">
        <f t="shared" si="2"/>
        <v>244715.09472999998</v>
      </c>
      <c r="T49">
        <f t="shared" si="2"/>
        <v>3960918.7261800002</v>
      </c>
      <c r="U49">
        <f t="shared" si="2"/>
        <v>1621495</v>
      </c>
      <c r="V49">
        <f t="shared" si="2"/>
        <v>798917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50">
      <c r="A50" s="8">
        <v>2010</v>
      </c>
      <c r="B50" s="7">
        <v>3.4787400000000002</v>
      </c>
      <c r="C50" s="7">
        <v>0.81151399999999996</v>
      </c>
      <c r="D50" s="7">
        <v>0.43354199999999998</v>
      </c>
      <c r="E50" s="7">
        <v>0.45144000000000001</v>
      </c>
      <c r="F50" s="7">
        <v>4.5790999999999998E-2</v>
      </c>
      <c r="G50" s="7">
        <v>0.15634799999999999</v>
      </c>
      <c r="H50" s="7">
        <v>0.184922</v>
      </c>
      <c r="I50" s="7">
        <v>2.1310549999999999</v>
      </c>
      <c r="J50" s="23">
        <v>0.34050599999999998</v>
      </c>
      <c r="K50" s="23">
        <v>1.590025</v>
      </c>
      <c r="L50" s="23"/>
      <c r="M50">
        <f t="shared" si="2"/>
        <v>1123438.21056</v>
      </c>
      <c r="N50">
        <f t="shared" si="2"/>
        <v>7639406.1477799993</v>
      </c>
      <c r="O50">
        <f t="shared" si="2"/>
        <v>1298397.59412</v>
      </c>
      <c r="P50">
        <f t="shared" si="2"/>
        <v>1254172.5504000001</v>
      </c>
      <c r="Q50">
        <f t="shared" si="2"/>
        <v>713936.63919999998</v>
      </c>
      <c r="R50">
        <f t="shared" si="2"/>
        <v>768397.26167999988</v>
      </c>
      <c r="S50">
        <f t="shared" si="2"/>
        <v>252139.29777999999</v>
      </c>
      <c r="T50">
        <f t="shared" si="2"/>
        <v>4553936.6716999998</v>
      </c>
      <c r="U50">
        <f t="shared" si="2"/>
        <v>1702529.9999999998</v>
      </c>
      <c r="V50">
        <f t="shared" si="2"/>
        <v>795012.5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50">
      <c r="A51" s="8">
        <v>2011</v>
      </c>
      <c r="B51" s="7">
        <v>3.4207939999999999</v>
      </c>
      <c r="C51" s="7">
        <v>0.81238500000000002</v>
      </c>
      <c r="D51" s="7">
        <v>0.45213799999999998</v>
      </c>
      <c r="E51" s="7">
        <v>0.46106200000000003</v>
      </c>
      <c r="F51" s="7">
        <v>4.7829000000000003E-2</v>
      </c>
      <c r="G51" s="7">
        <v>0.160936</v>
      </c>
      <c r="H51" s="7">
        <v>0.18474199999999999</v>
      </c>
      <c r="I51" s="7">
        <v>2.450742</v>
      </c>
      <c r="J51" s="23">
        <v>0.35395900000000002</v>
      </c>
      <c r="K51" s="23">
        <v>1.6161380000000001</v>
      </c>
      <c r="L51" s="23"/>
      <c r="M51">
        <f t="shared" si="2"/>
        <v>1104724.897536</v>
      </c>
      <c r="N51">
        <f t="shared" si="2"/>
        <v>7647605.5414500004</v>
      </c>
      <c r="O51">
        <f t="shared" si="2"/>
        <v>1354090.0106800001</v>
      </c>
      <c r="P51">
        <f t="shared" si="2"/>
        <v>1280904.0059200001</v>
      </c>
      <c r="Q51">
        <f t="shared" si="2"/>
        <v>745711.50480000011</v>
      </c>
      <c r="R51">
        <f t="shared" si="2"/>
        <v>790945.72175999999</v>
      </c>
      <c r="S51">
        <f t="shared" si="2"/>
        <v>251893.86958</v>
      </c>
      <c r="T51">
        <f t="shared" si="2"/>
        <v>5237088.6094800001</v>
      </c>
      <c r="U51">
        <f t="shared" si="2"/>
        <v>1769795.0000000002</v>
      </c>
      <c r="V51">
        <f t="shared" si="2"/>
        <v>808069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50">
      <c r="A52" s="8">
        <v>2012</v>
      </c>
      <c r="B52" s="7">
        <v>3.387575</v>
      </c>
      <c r="C52" s="7">
        <v>0.81746799999999997</v>
      </c>
      <c r="D52" s="7">
        <v>0.40687800000000002</v>
      </c>
      <c r="E52" s="7">
        <v>0.46688299999999999</v>
      </c>
      <c r="F52" s="7">
        <v>5.0574000000000001E-2</v>
      </c>
      <c r="G52" s="7">
        <v>0.16342599999999999</v>
      </c>
      <c r="H52" s="7">
        <v>0.18531600000000001</v>
      </c>
      <c r="I52" s="7">
        <v>2.7111869999999998</v>
      </c>
      <c r="J52" s="23">
        <v>0.35898000000000002</v>
      </c>
      <c r="K52" s="23">
        <v>1.5927020000000001</v>
      </c>
      <c r="L52" s="23"/>
      <c r="M52">
        <f t="shared" si="2"/>
        <v>1093997.0208000001</v>
      </c>
      <c r="N52">
        <f t="shared" si="2"/>
        <v>7695455.7343600001</v>
      </c>
      <c r="O52">
        <f t="shared" si="2"/>
        <v>1218542.64708</v>
      </c>
      <c r="P52">
        <f t="shared" si="2"/>
        <v>1297075.6752800001</v>
      </c>
      <c r="Q52">
        <f t="shared" si="2"/>
        <v>788509.34880000004</v>
      </c>
      <c r="R52">
        <f t="shared" si="2"/>
        <v>803183.22515999991</v>
      </c>
      <c r="S52">
        <f t="shared" si="2"/>
        <v>252676.51284000001</v>
      </c>
      <c r="T52">
        <f t="shared" si="2"/>
        <v>5793643.9477799991</v>
      </c>
      <c r="U52">
        <f t="shared" si="2"/>
        <v>1794900</v>
      </c>
      <c r="V52">
        <f t="shared" si="2"/>
        <v>796351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50">
      <c r="A53" s="8">
        <v>2013</v>
      </c>
      <c r="B53" s="7">
        <v>3.332144</v>
      </c>
      <c r="C53" s="7">
        <v>0.81884999999999997</v>
      </c>
      <c r="D53" s="7">
        <v>0.37830200000000003</v>
      </c>
      <c r="E53" s="7">
        <v>0.47650799999999999</v>
      </c>
      <c r="F53" s="7">
        <v>5.4008E-2</v>
      </c>
      <c r="G53" s="7">
        <v>0.16959099999999999</v>
      </c>
      <c r="H53" s="7">
        <v>0.187996</v>
      </c>
      <c r="I53" s="7">
        <v>3.0047329999999999</v>
      </c>
      <c r="J53" s="23">
        <v>0.367782</v>
      </c>
      <c r="K53" s="23">
        <v>1.6082320000000001</v>
      </c>
      <c r="L53" s="23"/>
      <c r="M53">
        <f t="shared" si="2"/>
        <v>1076095.911936</v>
      </c>
      <c r="N53">
        <f t="shared" si="2"/>
        <v>7708465.5644999994</v>
      </c>
      <c r="O53">
        <f t="shared" si="2"/>
        <v>1132961.5277200001</v>
      </c>
      <c r="P53">
        <f t="shared" si="2"/>
        <v>1323815.4652799999</v>
      </c>
      <c r="Q53">
        <f t="shared" si="2"/>
        <v>842049.52960000001</v>
      </c>
      <c r="R53">
        <f t="shared" si="2"/>
        <v>833482.10405999993</v>
      </c>
      <c r="S53">
        <f t="shared" si="2"/>
        <v>256330.66603999998</v>
      </c>
      <c r="T53">
        <f t="shared" si="2"/>
        <v>6420934.1370199993</v>
      </c>
      <c r="U53">
        <f t="shared" si="2"/>
        <v>1838910</v>
      </c>
      <c r="V53">
        <f t="shared" si="2"/>
        <v>804116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50">
      <c r="A54" s="8">
        <v>2014</v>
      </c>
      <c r="B54" s="7">
        <v>3.511841</v>
      </c>
      <c r="C54" s="7">
        <v>0.82039499999999999</v>
      </c>
      <c r="D54" s="7">
        <v>0.359657</v>
      </c>
      <c r="E54" s="7">
        <v>0.48244900000000002</v>
      </c>
      <c r="F54" s="7">
        <v>5.6339E-2</v>
      </c>
      <c r="G54" s="7">
        <v>0.17200799999999999</v>
      </c>
      <c r="H54" s="7">
        <v>0.192438</v>
      </c>
      <c r="I54" s="7">
        <v>2.303023</v>
      </c>
      <c r="J54" s="23">
        <v>0.38081399999999999</v>
      </c>
      <c r="K54" s="23">
        <v>1.5812759999999999</v>
      </c>
      <c r="L54" s="23"/>
      <c r="M54">
        <f t="shared" si="2"/>
        <v>1134127.9799039999</v>
      </c>
      <c r="N54">
        <f t="shared" si="2"/>
        <v>7723009.8391499994</v>
      </c>
      <c r="O54">
        <f t="shared" si="2"/>
        <v>1077122.36302</v>
      </c>
      <c r="P54">
        <f t="shared" si="2"/>
        <v>1340320.5138400001</v>
      </c>
      <c r="Q54">
        <f t="shared" si="2"/>
        <v>878392.61679999996</v>
      </c>
      <c r="R54">
        <f t="shared" si="2"/>
        <v>845360.83727999998</v>
      </c>
      <c r="S54">
        <f t="shared" si="2"/>
        <v>262387.28862000001</v>
      </c>
      <c r="T54">
        <f t="shared" si="2"/>
        <v>4921421.9696199996</v>
      </c>
      <c r="U54">
        <f t="shared" si="2"/>
        <v>1904070</v>
      </c>
      <c r="V54">
        <f t="shared" si="2"/>
        <v>790638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50">
      <c r="A55" s="9">
        <v>2014.14</v>
      </c>
      <c r="B55" s="7">
        <v>3.5247790000000001</v>
      </c>
      <c r="C55" s="7">
        <v>0.82442300000000002</v>
      </c>
      <c r="D55" s="7">
        <v>0.36822199999999999</v>
      </c>
      <c r="E55" s="7">
        <v>0.483101</v>
      </c>
      <c r="F55" s="7">
        <v>5.5022000000000001E-2</v>
      </c>
      <c r="G55" s="7">
        <v>0.16964000000000001</v>
      </c>
      <c r="H55" s="7">
        <v>0.18198600000000001</v>
      </c>
      <c r="I55" s="7">
        <v>2.3047080000000002</v>
      </c>
      <c r="J55" s="23">
        <v>0.381415</v>
      </c>
      <c r="K55" s="23">
        <v>1.5985419999999999</v>
      </c>
      <c r="L55" s="23"/>
      <c r="M55">
        <f t="shared" si="2"/>
        <v>1138306.2293760001</v>
      </c>
      <c r="N55">
        <f t="shared" si="2"/>
        <v>7760928.50471</v>
      </c>
      <c r="O55">
        <f t="shared" si="2"/>
        <v>1102773.33892</v>
      </c>
      <c r="P55">
        <f t="shared" si="2"/>
        <v>1342131.8741600001</v>
      </c>
      <c r="Q55">
        <f t="shared" si="2"/>
        <v>857859.00640000007</v>
      </c>
      <c r="R55">
        <f t="shared" si="2"/>
        <v>833722.92240000004</v>
      </c>
      <c r="S55">
        <f t="shared" si="2"/>
        <v>248136.09114</v>
      </c>
      <c r="T55">
        <f t="shared" si="2"/>
        <v>4925022.7135200007</v>
      </c>
      <c r="U55">
        <f t="shared" si="2"/>
        <v>1907075</v>
      </c>
      <c r="V55">
        <f t="shared" si="2"/>
        <v>799271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>
      <c r="A56" s="8"/>
      <c r="B56" s="7" t="s">
        <v>210</v>
      </c>
      <c r="C56" s="7" t="s">
        <v>211</v>
      </c>
      <c r="D56" s="7" t="s">
        <v>203</v>
      </c>
      <c r="E56" s="7" t="s">
        <v>206</v>
      </c>
      <c r="F56" s="7" t="s">
        <v>208</v>
      </c>
      <c r="G56" s="7" t="s">
        <v>209</v>
      </c>
      <c r="H56" s="7" t="s">
        <v>204</v>
      </c>
      <c r="I56" s="7" t="s">
        <v>202</v>
      </c>
      <c r="J56" s="7" t="s">
        <v>207</v>
      </c>
      <c r="K56" s="7" t="s">
        <v>205</v>
      </c>
    </row>
  </sheetData>
  <pageMargins left="0.7" right="0.7" top="0.75" bottom="0.75" header="0.3" footer="0.3"/>
  <pageSetup orientation="portrait" horizontalDpi="1200" verticalDpi="12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6"/>
  <sheetViews>
    <sheetView topLeftCell="AC25" workbookViewId="0">
      <selection activeCell="AI52" sqref="AI52"/>
    </sheetView>
  </sheetViews>
  <sheetFormatPr baseColWidth="10" defaultColWidth="8.83203125" defaultRowHeight="14" x14ac:dyDescent="0"/>
  <cols>
    <col min="35" max="35" width="9.33203125" bestFit="1" customWidth="1"/>
    <col min="37" max="37" width="9.33203125" bestFit="1" customWidth="1"/>
  </cols>
  <sheetData>
    <row r="1" spans="1:85">
      <c r="B1" t="s">
        <v>35</v>
      </c>
      <c r="C1" t="s">
        <v>36</v>
      </c>
      <c r="D1" t="s">
        <v>38</v>
      </c>
      <c r="E1" t="s">
        <v>40</v>
      </c>
      <c r="F1" t="s">
        <v>41</v>
      </c>
      <c r="G1" t="s">
        <v>47</v>
      </c>
      <c r="H1" t="s">
        <v>45</v>
      </c>
      <c r="I1" t="s">
        <v>51</v>
      </c>
      <c r="J1" t="s">
        <v>39</v>
      </c>
      <c r="K1" t="s">
        <v>54</v>
      </c>
      <c r="M1" t="s">
        <v>224</v>
      </c>
      <c r="N1">
        <v>1</v>
      </c>
    </row>
    <row r="2" spans="1:85">
      <c r="B2" s="7" t="s">
        <v>186</v>
      </c>
      <c r="C2" s="7" t="s">
        <v>187</v>
      </c>
      <c r="D2" s="7" t="s">
        <v>179</v>
      </c>
      <c r="E2" s="7" t="s">
        <v>182</v>
      </c>
      <c r="F2" s="7" t="s">
        <v>184</v>
      </c>
      <c r="G2" s="7" t="s">
        <v>185</v>
      </c>
      <c r="H2" s="7" t="s">
        <v>180</v>
      </c>
      <c r="I2" s="7" t="s">
        <v>178</v>
      </c>
      <c r="J2" s="7" t="s">
        <v>272</v>
      </c>
      <c r="K2" s="7" t="s">
        <v>274</v>
      </c>
      <c r="M2" s="11" t="s">
        <v>223</v>
      </c>
      <c r="X2" t="s">
        <v>225</v>
      </c>
    </row>
    <row r="3" spans="1:85">
      <c r="A3" s="6" t="s">
        <v>177</v>
      </c>
      <c r="B3" s="4" t="s">
        <v>210</v>
      </c>
      <c r="C3" s="4" t="s">
        <v>211</v>
      </c>
      <c r="D3" s="4" t="s">
        <v>203</v>
      </c>
      <c r="E3" s="4" t="s">
        <v>206</v>
      </c>
      <c r="F3" s="4" t="s">
        <v>208</v>
      </c>
      <c r="G3" s="4" t="s">
        <v>209</v>
      </c>
      <c r="H3" s="4" t="s">
        <v>204</v>
      </c>
      <c r="I3" s="4" t="s">
        <v>202</v>
      </c>
      <c r="J3" s="7" t="s">
        <v>276</v>
      </c>
      <c r="K3" s="7" t="s">
        <v>277</v>
      </c>
      <c r="M3" t="s">
        <v>35</v>
      </c>
      <c r="N3" t="s">
        <v>36</v>
      </c>
      <c r="O3" t="s">
        <v>38</v>
      </c>
      <c r="P3" t="s">
        <v>40</v>
      </c>
      <c r="Q3" t="s">
        <v>41</v>
      </c>
      <c r="R3" t="s">
        <v>47</v>
      </c>
      <c r="S3" t="s">
        <v>45</v>
      </c>
      <c r="T3" t="s">
        <v>51</v>
      </c>
      <c r="U3" t="s">
        <v>39</v>
      </c>
      <c r="V3" t="s">
        <v>54</v>
      </c>
      <c r="X3" t="s">
        <v>35</v>
      </c>
      <c r="Y3" t="s">
        <v>36</v>
      </c>
      <c r="Z3" t="s">
        <v>38</v>
      </c>
      <c r="AA3" t="s">
        <v>40</v>
      </c>
      <c r="AB3" t="s">
        <v>41</v>
      </c>
      <c r="AC3" t="s">
        <v>47</v>
      </c>
      <c r="AD3" t="s">
        <v>45</v>
      </c>
      <c r="AE3" t="s">
        <v>51</v>
      </c>
      <c r="AF3" t="s">
        <v>39</v>
      </c>
      <c r="AG3" t="s">
        <v>54</v>
      </c>
      <c r="AI3">
        <v>363.82489199999998</v>
      </c>
      <c r="AJ3">
        <v>363.82489199999998</v>
      </c>
      <c r="AK3">
        <v>382.06079999999997</v>
      </c>
      <c r="AL3">
        <v>369.60931199999999</v>
      </c>
      <c r="AM3">
        <v>434.65034200000002</v>
      </c>
      <c r="AN3">
        <v>404.80209100000002</v>
      </c>
      <c r="AO3">
        <v>450.566416</v>
      </c>
      <c r="AP3">
        <v>472.46796399999999</v>
      </c>
      <c r="AQ3">
        <v>520.45973800000002</v>
      </c>
      <c r="AR3">
        <v>589.58914200000004</v>
      </c>
      <c r="AS3">
        <v>708.99684300000001</v>
      </c>
      <c r="AT3">
        <v>786.78938800000003</v>
      </c>
      <c r="AU3">
        <v>881.68898000000002</v>
      </c>
      <c r="AV3">
        <v>1052.626906</v>
      </c>
      <c r="AW3">
        <v>1153.9553510000001</v>
      </c>
      <c r="AX3">
        <v>1279.3765860000001</v>
      </c>
      <c r="AY3">
        <v>1446.390128</v>
      </c>
      <c r="AZ3">
        <v>1602.7156460000001</v>
      </c>
      <c r="BA3">
        <v>1706.199087</v>
      </c>
      <c r="BB3">
        <v>1799.8478769999999</v>
      </c>
      <c r="BC3">
        <v>1881.877068</v>
      </c>
      <c r="BD3">
        <v>1971.083124</v>
      </c>
      <c r="BE3">
        <v>2335.8569819999998</v>
      </c>
      <c r="BF3">
        <v>2373.1878510000001</v>
      </c>
      <c r="BG3">
        <v>2373.6759299999999</v>
      </c>
      <c r="BH3">
        <v>2501.811177</v>
      </c>
      <c r="BI3">
        <v>2536.6545809999998</v>
      </c>
      <c r="BJ3">
        <v>2700.2658719999999</v>
      </c>
      <c r="BK3">
        <v>2944.7882020000002</v>
      </c>
      <c r="BL3">
        <v>2932.593331</v>
      </c>
      <c r="BM3">
        <v>2795.1586630000002</v>
      </c>
      <c r="BN3">
        <v>2789.8493119999998</v>
      </c>
      <c r="BO3">
        <v>2868.751753</v>
      </c>
      <c r="BP3">
        <v>2733.9278389999999</v>
      </c>
      <c r="BQ3">
        <v>2861.0459689999998</v>
      </c>
      <c r="BR3">
        <v>2885.6725809999998</v>
      </c>
      <c r="BS3">
        <v>2971.1190660000002</v>
      </c>
      <c r="BT3">
        <v>2939.5121690000001</v>
      </c>
      <c r="BU3">
        <v>2873.0860250000001</v>
      </c>
      <c r="BV3">
        <v>2905.8942160000001</v>
      </c>
      <c r="BW3">
        <v>2770.5025690000002</v>
      </c>
      <c r="BX3">
        <v>3222.8972950000002</v>
      </c>
      <c r="BY3">
        <v>3693.113805</v>
      </c>
      <c r="BZ3">
        <v>4137.1734020000004</v>
      </c>
      <c r="CA3">
        <v>4343.8838770000002</v>
      </c>
      <c r="CB3">
        <v>4059.6357630000002</v>
      </c>
      <c r="CC3">
        <v>3797.9764169999999</v>
      </c>
      <c r="CD3">
        <v>3870.8887110000001</v>
      </c>
      <c r="CE3">
        <v>3822.2195379999998</v>
      </c>
      <c r="CF3">
        <v>3678.5925990000001</v>
      </c>
      <c r="CG3">
        <v>3957.6526990000002</v>
      </c>
    </row>
    <row r="4" spans="1:85">
      <c r="A4" s="8">
        <v>1964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 s="27">
        <f>B4*$N$1/'biomass Atlantis newsimGB'!M4</f>
        <v>0</v>
      </c>
      <c r="N4" s="27">
        <f>C4*$N$1/'biomass Atlantis newsimGB'!N4</f>
        <v>0</v>
      </c>
      <c r="O4" s="27">
        <f>D4*$N$1/'biomass Atlantis newsimGB'!O4</f>
        <v>0</v>
      </c>
      <c r="P4" s="27">
        <f>E4*$N$1/'biomass Atlantis newsimGB'!P4</f>
        <v>0</v>
      </c>
      <c r="Q4" s="27">
        <f>F4*$N$1/'biomass Atlantis newsimGB'!Q4</f>
        <v>0</v>
      </c>
      <c r="R4" s="27">
        <f>G4*$N$1/'biomass Atlantis newsimGB'!R4</f>
        <v>0</v>
      </c>
      <c r="S4" s="27">
        <f>H4*$N$1/'biomass Atlantis newsimGB'!S4</f>
        <v>0</v>
      </c>
      <c r="T4" s="27">
        <f>I4*$N$1/'biomass Atlantis newsimGB'!T4</f>
        <v>0</v>
      </c>
      <c r="U4" s="27">
        <f>J4*$N$1/'biomass Atlantis newsimGB'!U4</f>
        <v>0</v>
      </c>
      <c r="V4" s="27">
        <f>K4*$N$1/'biomass Atlantis newsimGB'!V4</f>
        <v>0</v>
      </c>
      <c r="X4">
        <f>B4*$N$1</f>
        <v>0</v>
      </c>
      <c r="Y4">
        <f t="shared" ref="Y4:AG19" si="0">C4*$N$1</f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I4">
        <v>2156.8743220000001</v>
      </c>
      <c r="AJ4">
        <v>2156.8743220000001</v>
      </c>
      <c r="AK4">
        <v>2272.0032529999999</v>
      </c>
      <c r="AL4">
        <v>2415.8336960000001</v>
      </c>
      <c r="AM4">
        <v>2629.4382500000002</v>
      </c>
      <c r="AN4">
        <v>2948.815341</v>
      </c>
      <c r="AO4">
        <v>3353.6250869999999</v>
      </c>
      <c r="AP4">
        <v>3775.140742</v>
      </c>
      <c r="AQ4">
        <v>4190.7824129999999</v>
      </c>
      <c r="AR4">
        <v>4678.7824289999999</v>
      </c>
      <c r="AS4">
        <v>5148.3284030000004</v>
      </c>
      <c r="AT4">
        <v>5571.3212960000001</v>
      </c>
      <c r="AU4">
        <v>6130.0857189999997</v>
      </c>
      <c r="AV4">
        <v>6646.9508169999999</v>
      </c>
      <c r="AW4">
        <v>7046.42605</v>
      </c>
      <c r="AX4">
        <v>7586.0497839999998</v>
      </c>
      <c r="AY4">
        <v>8037.6785730000001</v>
      </c>
      <c r="AZ4">
        <v>8124.4332770000001</v>
      </c>
      <c r="BA4">
        <v>8341.2514360000005</v>
      </c>
      <c r="BB4">
        <v>8465.6323090000005</v>
      </c>
      <c r="BC4">
        <v>8379.3062430000009</v>
      </c>
      <c r="BD4">
        <v>8412.4726429999992</v>
      </c>
      <c r="BE4">
        <v>8625.7778060000001</v>
      </c>
      <c r="BF4">
        <v>8478.5393029999996</v>
      </c>
      <c r="BG4">
        <v>8545.4085250000007</v>
      </c>
      <c r="BH4">
        <v>8437.0610730000008</v>
      </c>
      <c r="BI4">
        <v>7837.0771910000003</v>
      </c>
      <c r="BJ4">
        <v>7460.6613010000001</v>
      </c>
      <c r="BK4">
        <v>7225.8901610000003</v>
      </c>
      <c r="BL4">
        <v>7001.0642749999997</v>
      </c>
      <c r="BM4">
        <v>6764.8844719999997</v>
      </c>
      <c r="BN4">
        <v>6620.3073439999998</v>
      </c>
      <c r="BO4">
        <v>6497.6742299999996</v>
      </c>
      <c r="BP4">
        <v>6273.593057</v>
      </c>
      <c r="BQ4">
        <v>6166.3685610000002</v>
      </c>
      <c r="BR4">
        <v>5901.3352599999998</v>
      </c>
      <c r="BS4">
        <v>5642.917144</v>
      </c>
      <c r="BT4">
        <v>5349.5453040000002</v>
      </c>
      <c r="BU4">
        <v>5077.5734060000004</v>
      </c>
      <c r="BV4">
        <v>4844.899418</v>
      </c>
      <c r="BW4">
        <v>4718.1857099999997</v>
      </c>
      <c r="BX4">
        <v>4612.3149569999996</v>
      </c>
      <c r="BY4">
        <v>4489.5527910000001</v>
      </c>
      <c r="BZ4">
        <v>4382.6153670000003</v>
      </c>
      <c r="CA4">
        <v>4249.1755389999998</v>
      </c>
      <c r="CB4">
        <v>4194.1053629999997</v>
      </c>
      <c r="CC4">
        <v>4149.3931419999999</v>
      </c>
      <c r="CD4">
        <v>4109.60484</v>
      </c>
      <c r="CE4">
        <v>4049.194176</v>
      </c>
      <c r="CF4">
        <v>3994.5308519999999</v>
      </c>
      <c r="CG4">
        <v>3982.5565769999998</v>
      </c>
    </row>
    <row r="5" spans="1:85">
      <c r="A5" s="8">
        <v>1965</v>
      </c>
      <c r="B5">
        <v>363.82489199999998</v>
      </c>
      <c r="C5">
        <v>2156.8743220000001</v>
      </c>
      <c r="D5">
        <v>127813.948567</v>
      </c>
      <c r="E5">
        <v>18274.082931000001</v>
      </c>
      <c r="F5">
        <v>57204.667793000001</v>
      </c>
      <c r="G5">
        <v>16396.743218</v>
      </c>
      <c r="H5">
        <v>25738.909682000001</v>
      </c>
      <c r="I5">
        <v>96777.481123999998</v>
      </c>
      <c r="J5">
        <v>21059.022249000001</v>
      </c>
      <c r="K5">
        <v>4.7085840000000001</v>
      </c>
      <c r="M5">
        <f>B5*$N$1/'biomass Atlantis newsimGB'!M5</f>
        <v>1.1420098776662451E-3</v>
      </c>
      <c r="N5">
        <f>C5*$N$1/'biomass Atlantis newsimGB'!N5</f>
        <v>1.7527925300115778E-4</v>
      </c>
      <c r="O5">
        <f>D5*$N$1/'biomass Atlantis newsimGB'!O5</f>
        <v>4.9073692309338196E-2</v>
      </c>
      <c r="P5">
        <f>E5*$N$1/'biomass Atlantis newsimGB'!P5</f>
        <v>6.6122010980483852E-3</v>
      </c>
      <c r="Q5">
        <f>F5*$N$1/'biomass Atlantis newsimGB'!Q5</f>
        <v>6.7733249088581587E-3</v>
      </c>
      <c r="R5">
        <f>G5*$N$1/'biomass Atlantis newsimGB'!R5</f>
        <v>4.5936725281048576E-3</v>
      </c>
      <c r="S5">
        <f>H5*$N$1/'biomass Atlantis newsimGB'!S5</f>
        <v>1.8097565375191922E-2</v>
      </c>
      <c r="T5">
        <f>I5*$N$1/'biomass Atlantis newsimGB'!T5</f>
        <v>3.6379050225096583E-2</v>
      </c>
      <c r="U5">
        <f>J5*$N$1/'biomass Atlantis newsimGB'!U5</f>
        <v>4.0002245717509488E-3</v>
      </c>
      <c r="V5">
        <f>K5*$N$1/'biomass Atlantis newsimGB'!V5</f>
        <v>8.8310180105666495E-6</v>
      </c>
      <c r="X5">
        <f t="shared" ref="X5:AG43" si="1">B5*$N$1</f>
        <v>363.82489199999998</v>
      </c>
      <c r="Y5">
        <f t="shared" si="0"/>
        <v>2156.8743220000001</v>
      </c>
      <c r="Z5">
        <f t="shared" si="0"/>
        <v>127813.948567</v>
      </c>
      <c r="AA5">
        <f t="shared" si="0"/>
        <v>18274.082931000001</v>
      </c>
      <c r="AB5">
        <f t="shared" si="0"/>
        <v>57204.667793000001</v>
      </c>
      <c r="AC5">
        <f t="shared" si="0"/>
        <v>16396.743218</v>
      </c>
      <c r="AD5">
        <f t="shared" si="0"/>
        <v>25738.909682000001</v>
      </c>
      <c r="AE5">
        <f t="shared" si="0"/>
        <v>96777.481123999998</v>
      </c>
      <c r="AF5">
        <f t="shared" si="0"/>
        <v>21059.022249000001</v>
      </c>
      <c r="AG5">
        <f t="shared" si="0"/>
        <v>4.7085840000000001</v>
      </c>
      <c r="AI5">
        <v>127813.948567</v>
      </c>
      <c r="AJ5">
        <v>127813.948567</v>
      </c>
      <c r="AK5">
        <v>125055.953165</v>
      </c>
      <c r="AL5">
        <v>122711.00447499999</v>
      </c>
      <c r="AM5">
        <v>121424.106222</v>
      </c>
      <c r="AN5">
        <v>119429.82057500001</v>
      </c>
      <c r="AO5">
        <v>118440.153284</v>
      </c>
      <c r="AP5">
        <v>117389.13256100001</v>
      </c>
      <c r="AQ5">
        <v>117154.87104100001</v>
      </c>
      <c r="AR5">
        <v>116547.378274</v>
      </c>
      <c r="AS5">
        <v>116246.002873</v>
      </c>
      <c r="AT5">
        <v>116077.440095</v>
      </c>
      <c r="AU5">
        <v>115916.97278900001</v>
      </c>
      <c r="AV5">
        <v>115677.694661</v>
      </c>
      <c r="AW5">
        <v>2587.6688349999999</v>
      </c>
      <c r="AX5">
        <v>4321.4725479999997</v>
      </c>
      <c r="AY5">
        <v>6650.0763699999998</v>
      </c>
      <c r="AZ5">
        <v>8049.6815260000003</v>
      </c>
      <c r="BA5">
        <v>8463.8784520000008</v>
      </c>
      <c r="BB5">
        <v>8581.1140969999997</v>
      </c>
      <c r="BC5">
        <v>10627.914202</v>
      </c>
      <c r="BD5">
        <v>12251.238254</v>
      </c>
      <c r="BE5">
        <v>14365.99973</v>
      </c>
      <c r="BF5">
        <v>16860.187545000001</v>
      </c>
      <c r="BG5">
        <v>18093.351013</v>
      </c>
      <c r="BH5">
        <v>19331.245338000001</v>
      </c>
      <c r="BI5">
        <v>18014.584756</v>
      </c>
      <c r="BJ5">
        <v>17904.841832999999</v>
      </c>
      <c r="BK5">
        <v>19099.884396000001</v>
      </c>
      <c r="BL5">
        <v>17161.454621000001</v>
      </c>
      <c r="BM5">
        <v>18268.061857000001</v>
      </c>
      <c r="BN5">
        <v>25190.581236999999</v>
      </c>
      <c r="BO5">
        <v>30951.102112</v>
      </c>
      <c r="BP5">
        <v>34516.366400999999</v>
      </c>
      <c r="BQ5">
        <v>46409.930415000003</v>
      </c>
      <c r="BR5">
        <v>47500.126052</v>
      </c>
      <c r="BS5">
        <v>53171.488259999998</v>
      </c>
      <c r="BT5">
        <v>51524.889323000003</v>
      </c>
      <c r="BU5">
        <v>65926.931674000007</v>
      </c>
      <c r="BV5">
        <v>68600.921262999997</v>
      </c>
      <c r="BW5">
        <v>71773.226406000002</v>
      </c>
      <c r="BX5">
        <v>105211.671667</v>
      </c>
      <c r="BY5">
        <v>116699.25566</v>
      </c>
      <c r="BZ5">
        <v>116302.531522</v>
      </c>
      <c r="CA5">
        <v>102456.47575899999</v>
      </c>
      <c r="CB5">
        <v>104221.456893</v>
      </c>
      <c r="CC5">
        <v>90076.083413</v>
      </c>
      <c r="CD5">
        <v>78181.993006000004</v>
      </c>
      <c r="CE5">
        <v>86471.902742000006</v>
      </c>
      <c r="CF5">
        <v>76484.708933000002</v>
      </c>
      <c r="CG5">
        <v>72211.031719999999</v>
      </c>
    </row>
    <row r="6" spans="1:85">
      <c r="A6" s="8">
        <v>1966</v>
      </c>
      <c r="B6">
        <v>382.06079999999997</v>
      </c>
      <c r="C6">
        <v>2272.0032529999999</v>
      </c>
      <c r="D6">
        <v>125055.953165</v>
      </c>
      <c r="E6">
        <v>16233.316607999999</v>
      </c>
      <c r="F6">
        <v>26538.516350999998</v>
      </c>
      <c r="G6">
        <v>11549.896654</v>
      </c>
      <c r="H6">
        <v>16639.984532999999</v>
      </c>
      <c r="I6">
        <v>91408.318008000002</v>
      </c>
      <c r="J6">
        <v>19979.163713999998</v>
      </c>
      <c r="K6">
        <v>3.2127669999999999</v>
      </c>
      <c r="M6">
        <f>B6*$N$1/'biomass Atlantis newsimGB'!M6</f>
        <v>1.2186740729811997E-3</v>
      </c>
      <c r="N6">
        <f>C6*$N$1/'biomass Atlantis newsimGB'!N6</f>
        <v>1.564360571496783E-4</v>
      </c>
      <c r="O6">
        <f>D6*$N$1/'biomass Atlantis newsimGB'!O6</f>
        <v>5.8389853082770823E-2</v>
      </c>
      <c r="P6">
        <f>E6*$N$1/'biomass Atlantis newsimGB'!P6</f>
        <v>5.7345939503051337E-3</v>
      </c>
      <c r="Q6">
        <f>F6*$N$1/'biomass Atlantis newsimGB'!Q6</f>
        <v>3.8553030321943835E-3</v>
      </c>
      <c r="R6">
        <f>G6*$N$1/'biomass Atlantis newsimGB'!R6</f>
        <v>3.1252452604500834E-3</v>
      </c>
      <c r="S6">
        <f>H6*$N$1/'biomass Atlantis newsimGB'!S6</f>
        <v>1.3006866050924059E-2</v>
      </c>
      <c r="T6">
        <f>I6*$N$1/'biomass Atlantis newsimGB'!T6</f>
        <v>4.3878570929431454E-2</v>
      </c>
      <c r="U6">
        <f>J6*$N$1/'biomass Atlantis newsimGB'!U6</f>
        <v>3.9739442578278841E-3</v>
      </c>
      <c r="V6">
        <f>K6*$N$1/'biomass Atlantis newsimGB'!V6</f>
        <v>5.1164983604677647E-6</v>
      </c>
      <c r="X6">
        <f t="shared" si="1"/>
        <v>382.06079999999997</v>
      </c>
      <c r="Y6">
        <f t="shared" si="0"/>
        <v>2272.0032529999999</v>
      </c>
      <c r="Z6">
        <f t="shared" si="0"/>
        <v>125055.953165</v>
      </c>
      <c r="AA6">
        <f t="shared" si="0"/>
        <v>16233.316607999999</v>
      </c>
      <c r="AB6">
        <f t="shared" si="0"/>
        <v>26538.516350999998</v>
      </c>
      <c r="AC6">
        <f t="shared" si="0"/>
        <v>11549.896654</v>
      </c>
      <c r="AD6">
        <f t="shared" si="0"/>
        <v>16639.984532999999</v>
      </c>
      <c r="AE6">
        <f t="shared" si="0"/>
        <v>91408.318008000002</v>
      </c>
      <c r="AF6">
        <f t="shared" si="0"/>
        <v>19979.163713999998</v>
      </c>
      <c r="AG6">
        <f t="shared" si="0"/>
        <v>3.2127669999999999</v>
      </c>
      <c r="AI6">
        <v>18274.082931000001</v>
      </c>
      <c r="AJ6">
        <v>18274.082931000001</v>
      </c>
      <c r="AK6">
        <v>16233.316607999999</v>
      </c>
      <c r="AL6">
        <v>16035.866803000001</v>
      </c>
      <c r="AM6">
        <v>17678.854586000001</v>
      </c>
      <c r="AN6">
        <v>20754.883984</v>
      </c>
      <c r="AO6">
        <v>22900.170440999998</v>
      </c>
      <c r="AP6">
        <v>23588.330795000002</v>
      </c>
      <c r="AQ6">
        <v>24132.221646999998</v>
      </c>
      <c r="AR6">
        <v>24478.019195000001</v>
      </c>
      <c r="AS6">
        <v>24556.040896999999</v>
      </c>
      <c r="AT6">
        <v>24517.343147</v>
      </c>
      <c r="AU6">
        <v>24719.28412</v>
      </c>
      <c r="AV6">
        <v>24656.069427999999</v>
      </c>
      <c r="AW6">
        <v>25068.986776999998</v>
      </c>
      <c r="AX6">
        <v>25190.937774000002</v>
      </c>
      <c r="AY6">
        <v>24582.747651999998</v>
      </c>
      <c r="AZ6">
        <v>23437.804093999999</v>
      </c>
      <c r="BA6">
        <v>22278.484569</v>
      </c>
      <c r="BB6">
        <v>20894.028245000001</v>
      </c>
      <c r="BC6">
        <v>19797.547750000002</v>
      </c>
      <c r="BD6">
        <v>18973.660459999999</v>
      </c>
      <c r="BE6">
        <v>18312.368382000001</v>
      </c>
      <c r="BF6">
        <v>17872.821550000001</v>
      </c>
      <c r="BG6">
        <v>17369.145651999999</v>
      </c>
      <c r="BH6">
        <v>16454.368128999999</v>
      </c>
      <c r="BI6">
        <v>14738.536195999999</v>
      </c>
      <c r="BJ6">
        <v>13876.081139</v>
      </c>
      <c r="BK6">
        <v>13529.970208000001</v>
      </c>
      <c r="BL6">
        <v>12987.846363000001</v>
      </c>
      <c r="BM6">
        <v>12940.880415</v>
      </c>
      <c r="BN6">
        <v>12840.583185</v>
      </c>
      <c r="BO6">
        <v>12691.859012000001</v>
      </c>
      <c r="BP6">
        <v>12615.64759</v>
      </c>
      <c r="BQ6">
        <v>12406.548091000001</v>
      </c>
      <c r="BR6">
        <v>12088.812813</v>
      </c>
      <c r="BS6">
        <v>11817.744916</v>
      </c>
      <c r="BT6">
        <v>11649.587937</v>
      </c>
      <c r="BU6">
        <v>11655.362558999999</v>
      </c>
      <c r="BV6">
        <v>11782.842565000001</v>
      </c>
      <c r="BW6">
        <v>12212.087820999999</v>
      </c>
      <c r="BX6">
        <v>12723.628692</v>
      </c>
      <c r="BY6">
        <v>12778.693805999999</v>
      </c>
      <c r="BZ6">
        <v>12958.047313999999</v>
      </c>
      <c r="CA6">
        <v>13115.519432999999</v>
      </c>
      <c r="CB6">
        <v>13560.16453</v>
      </c>
      <c r="CC6">
        <v>14138.974921000001</v>
      </c>
      <c r="CD6">
        <v>14556.304953000001</v>
      </c>
      <c r="CE6">
        <v>14636.329318</v>
      </c>
      <c r="CF6">
        <v>14710.997042000001</v>
      </c>
      <c r="CG6">
        <v>14864.083708</v>
      </c>
    </row>
    <row r="7" spans="1:85">
      <c r="A7" s="8">
        <v>1967</v>
      </c>
      <c r="B7">
        <v>369.60931199999999</v>
      </c>
      <c r="C7">
        <v>2415.8336960000001</v>
      </c>
      <c r="D7">
        <v>122711.00447499999</v>
      </c>
      <c r="E7">
        <v>16035.866803000001</v>
      </c>
      <c r="F7">
        <v>17264.209085999999</v>
      </c>
      <c r="G7">
        <v>10693.826241000001</v>
      </c>
      <c r="H7">
        <v>12581.188305</v>
      </c>
      <c r="I7">
        <v>102420.98183800001</v>
      </c>
      <c r="J7">
        <v>19098.450787000002</v>
      </c>
      <c r="K7">
        <v>14.266474000000001</v>
      </c>
      <c r="M7">
        <f>B7*$N$1/'biomass Atlantis newsimGB'!M7</f>
        <v>1.1877393539140816E-3</v>
      </c>
      <c r="N7">
        <f>C7*$N$1/'biomass Atlantis newsimGB'!N7</f>
        <v>1.4779148814529888E-4</v>
      </c>
      <c r="O7">
        <f>D7*$N$1/'biomass Atlantis newsimGB'!O7</f>
        <v>7.2331422193596562E-2</v>
      </c>
      <c r="P7">
        <f>E7*$N$1/'biomass Atlantis newsimGB'!P7</f>
        <v>5.1429590528932921E-3</v>
      </c>
      <c r="Q7">
        <f>F7*$N$1/'biomass Atlantis newsimGB'!Q7</f>
        <v>2.9168151533543645E-3</v>
      </c>
      <c r="R7">
        <f>G7*$N$1/'biomass Atlantis newsimGB'!R7</f>
        <v>3.0435325149820031E-3</v>
      </c>
      <c r="S7">
        <f>H7*$N$1/'biomass Atlantis newsimGB'!S7</f>
        <v>1.0690376249505548E-2</v>
      </c>
      <c r="T7">
        <f>I7*$N$1/'biomass Atlantis newsimGB'!T7</f>
        <v>3.9649938161427735E-2</v>
      </c>
      <c r="U7">
        <f>J7*$N$1/'biomass Atlantis newsimGB'!U7</f>
        <v>4.2622669036024661E-3</v>
      </c>
      <c r="V7">
        <f>K7*$N$1/'biomass Atlantis newsimGB'!V7</f>
        <v>1.8807943475214378E-5</v>
      </c>
      <c r="X7">
        <f t="shared" si="1"/>
        <v>369.60931199999999</v>
      </c>
      <c r="Y7">
        <f t="shared" si="0"/>
        <v>2415.8336960000001</v>
      </c>
      <c r="Z7">
        <f t="shared" si="0"/>
        <v>122711.00447499999</v>
      </c>
      <c r="AA7">
        <f t="shared" si="0"/>
        <v>16035.866803000001</v>
      </c>
      <c r="AB7">
        <f t="shared" si="0"/>
        <v>17264.209085999999</v>
      </c>
      <c r="AC7">
        <f t="shared" si="0"/>
        <v>10693.826241000001</v>
      </c>
      <c r="AD7">
        <f t="shared" si="0"/>
        <v>12581.188305</v>
      </c>
      <c r="AE7">
        <f t="shared" si="0"/>
        <v>102420.98183800001</v>
      </c>
      <c r="AF7">
        <f t="shared" si="0"/>
        <v>19098.450787000002</v>
      </c>
      <c r="AG7">
        <f t="shared" si="0"/>
        <v>14.266474000000001</v>
      </c>
      <c r="AI7">
        <v>57204.667793000001</v>
      </c>
      <c r="AJ7">
        <v>57204.667793000001</v>
      </c>
      <c r="AK7">
        <v>26538.516350999998</v>
      </c>
      <c r="AL7">
        <v>17264.209085999999</v>
      </c>
      <c r="AM7">
        <v>12950.621214999999</v>
      </c>
      <c r="AN7">
        <v>10401.106076</v>
      </c>
      <c r="AO7">
        <v>8909.7641509999994</v>
      </c>
      <c r="AP7">
        <v>7915.8453799999997</v>
      </c>
      <c r="AQ7">
        <v>7174.4923760000001</v>
      </c>
      <c r="AR7">
        <v>6635.5679760000003</v>
      </c>
      <c r="AS7">
        <v>6269.4077989999996</v>
      </c>
      <c r="AT7">
        <v>5952.4677389999997</v>
      </c>
      <c r="AU7">
        <v>5965.4156839999996</v>
      </c>
      <c r="AV7">
        <v>5759.2543180000002</v>
      </c>
      <c r="AW7">
        <v>5639.0006940000003</v>
      </c>
      <c r="AX7">
        <v>5567.9783319999997</v>
      </c>
      <c r="AY7">
        <v>5208.6910470000003</v>
      </c>
      <c r="AZ7">
        <v>4948.7461640000001</v>
      </c>
      <c r="BA7">
        <v>4759.3331710000002</v>
      </c>
      <c r="BB7">
        <v>4530.1182490000001</v>
      </c>
      <c r="BC7">
        <v>4321.5343780000003</v>
      </c>
      <c r="BD7">
        <v>3741.3557340000002</v>
      </c>
      <c r="BE7">
        <v>3465.5037470000002</v>
      </c>
      <c r="BF7">
        <v>2933.474909</v>
      </c>
      <c r="BG7">
        <v>2562.8734890000001</v>
      </c>
      <c r="BH7">
        <v>2180.3635829999998</v>
      </c>
      <c r="BI7">
        <v>1637.657655</v>
      </c>
      <c r="BJ7">
        <v>1427.834374</v>
      </c>
      <c r="BK7">
        <v>1350.7910039999999</v>
      </c>
      <c r="BL7">
        <v>1333.4906570000001</v>
      </c>
      <c r="BM7">
        <v>1298.077726</v>
      </c>
      <c r="BN7">
        <v>1186.271604</v>
      </c>
      <c r="BO7">
        <v>1121.1759360000001</v>
      </c>
      <c r="BP7">
        <v>1035.7113489999999</v>
      </c>
      <c r="BQ7">
        <v>1058.6518470000001</v>
      </c>
      <c r="BR7">
        <v>956.63707999999997</v>
      </c>
      <c r="BS7">
        <v>946.46885999999995</v>
      </c>
      <c r="BT7">
        <v>878.17916500000001</v>
      </c>
      <c r="BU7">
        <v>950.96548800000005</v>
      </c>
      <c r="BV7">
        <v>995.42760499999997</v>
      </c>
      <c r="BW7">
        <v>1129.7362740000001</v>
      </c>
      <c r="BX7">
        <v>1322.89059</v>
      </c>
      <c r="BY7">
        <v>1426.6893130000001</v>
      </c>
      <c r="BZ7">
        <v>1554.1019920000001</v>
      </c>
      <c r="CA7">
        <v>1710.018202</v>
      </c>
      <c r="CB7">
        <v>1844.2800070000001</v>
      </c>
      <c r="CC7">
        <v>1963.6064510000001</v>
      </c>
      <c r="CD7">
        <v>2257.0469189999999</v>
      </c>
      <c r="CE7">
        <v>2349.413724</v>
      </c>
      <c r="CF7">
        <v>2324.4415119999999</v>
      </c>
      <c r="CG7">
        <v>2534.084883</v>
      </c>
    </row>
    <row r="8" spans="1:85">
      <c r="A8" s="8">
        <v>1968</v>
      </c>
      <c r="B8">
        <v>434.65034200000002</v>
      </c>
      <c r="C8">
        <v>2629.4382500000002</v>
      </c>
      <c r="D8">
        <v>121424.106222</v>
      </c>
      <c r="E8">
        <v>17678.854586000001</v>
      </c>
      <c r="F8">
        <v>12950.621214999999</v>
      </c>
      <c r="G8">
        <v>9798.8403230000004</v>
      </c>
      <c r="H8">
        <v>10765.804217999999</v>
      </c>
      <c r="I8">
        <v>116100.162793</v>
      </c>
      <c r="J8">
        <v>16832.719419000001</v>
      </c>
      <c r="K8">
        <v>33.741591999999997</v>
      </c>
      <c r="M8">
        <f>B8*$N$1/'biomass Atlantis newsimGB'!M8</f>
        <v>1.3876073525936575E-3</v>
      </c>
      <c r="N8">
        <f>C8*$N$1/'biomass Atlantis newsimGB'!N8</f>
        <v>1.499272966314576E-4</v>
      </c>
      <c r="O8">
        <f>D8*$N$1/'biomass Atlantis newsimGB'!O8</f>
        <v>9.2254654349277987E-2</v>
      </c>
      <c r="P8">
        <f>E8*$N$1/'biomass Atlantis newsimGB'!P8</f>
        <v>4.9172579561558042E-3</v>
      </c>
      <c r="Q8">
        <f>F8*$N$1/'biomass Atlantis newsimGB'!Q8</f>
        <v>2.4798749394188717E-3</v>
      </c>
      <c r="R8">
        <f>G8*$N$1/'biomass Atlantis newsimGB'!R8</f>
        <v>3.0695494395131221E-3</v>
      </c>
      <c r="S8">
        <f>H8*$N$1/'biomass Atlantis newsimGB'!S8</f>
        <v>9.9455605468388164E-3</v>
      </c>
      <c r="T8">
        <f>I8*$N$1/'biomass Atlantis newsimGB'!T8</f>
        <v>4.1095592639853573E-2</v>
      </c>
      <c r="U8">
        <f>J8*$N$1/'biomass Atlantis newsimGB'!U8</f>
        <v>4.2872419554611484E-3</v>
      </c>
      <c r="V8">
        <f>K8*$N$1/'biomass Atlantis newsimGB'!V8</f>
        <v>4.0007792495750703E-5</v>
      </c>
      <c r="X8">
        <f t="shared" si="1"/>
        <v>434.65034200000002</v>
      </c>
      <c r="Y8">
        <f t="shared" si="0"/>
        <v>2629.4382500000002</v>
      </c>
      <c r="Z8">
        <f t="shared" si="0"/>
        <v>121424.106222</v>
      </c>
      <c r="AA8">
        <f t="shared" si="0"/>
        <v>17678.854586000001</v>
      </c>
      <c r="AB8">
        <f t="shared" si="0"/>
        <v>12950.621214999999</v>
      </c>
      <c r="AC8">
        <f t="shared" si="0"/>
        <v>9798.8403230000004</v>
      </c>
      <c r="AD8">
        <f t="shared" si="0"/>
        <v>10765.804217999999</v>
      </c>
      <c r="AE8">
        <f t="shared" si="0"/>
        <v>116100.162793</v>
      </c>
      <c r="AF8">
        <f t="shared" si="0"/>
        <v>16832.719419000001</v>
      </c>
      <c r="AG8">
        <f t="shared" si="0"/>
        <v>33.741591999999997</v>
      </c>
      <c r="AI8">
        <v>16396.743218</v>
      </c>
      <c r="AJ8">
        <v>16396.743218</v>
      </c>
      <c r="AK8">
        <v>11549.896654</v>
      </c>
      <c r="AL8">
        <v>10693.826241000001</v>
      </c>
      <c r="AM8">
        <v>9798.8403230000004</v>
      </c>
      <c r="AN8">
        <v>9382.9851020000006</v>
      </c>
      <c r="AO8">
        <v>9423.3353910000005</v>
      </c>
      <c r="AP8">
        <v>9524.4985519999991</v>
      </c>
      <c r="AQ8">
        <v>9612.4731950000005</v>
      </c>
      <c r="AR8">
        <v>9963.2055409999994</v>
      </c>
      <c r="AS8">
        <v>10178.345851</v>
      </c>
      <c r="AT8">
        <v>10266.319659000001</v>
      </c>
      <c r="AU8">
        <v>10030.998591</v>
      </c>
      <c r="AV8">
        <v>10073.221027</v>
      </c>
      <c r="AW8">
        <v>10131.939482</v>
      </c>
      <c r="AX8">
        <v>10287.110124000001</v>
      </c>
      <c r="AY8">
        <v>10230.988022</v>
      </c>
      <c r="AZ8">
        <v>9559.6184470000007</v>
      </c>
      <c r="BA8">
        <v>9188.2845589999997</v>
      </c>
      <c r="BB8">
        <v>8983.1307479999996</v>
      </c>
      <c r="BC8">
        <v>8426.924454</v>
      </c>
      <c r="BD8">
        <v>8063.3269419999997</v>
      </c>
      <c r="BE8">
        <v>7193.9638660000001</v>
      </c>
      <c r="BF8">
        <v>6760.694313</v>
      </c>
      <c r="BG8">
        <v>5993.3004170000004</v>
      </c>
      <c r="BH8">
        <v>5480.4958649999999</v>
      </c>
      <c r="BI8">
        <v>4378.2270239999998</v>
      </c>
      <c r="BJ8">
        <v>4439.0542489999998</v>
      </c>
      <c r="BK8">
        <v>4926.9336780000003</v>
      </c>
      <c r="BL8">
        <v>4870.8299219999999</v>
      </c>
      <c r="BM8">
        <v>4245.6187879999998</v>
      </c>
      <c r="BN8">
        <v>4382.6195340000004</v>
      </c>
      <c r="BO8">
        <v>4902.819829</v>
      </c>
      <c r="BP8">
        <v>4329.4929830000001</v>
      </c>
      <c r="BQ8">
        <v>4234.0265579999996</v>
      </c>
      <c r="BR8">
        <v>4312.2256440000001</v>
      </c>
      <c r="BS8">
        <v>4041.22957</v>
      </c>
      <c r="BT8">
        <v>4192.0873080000001</v>
      </c>
      <c r="BU8">
        <v>4328.2796820000003</v>
      </c>
      <c r="BV8">
        <v>4601.6661009999998</v>
      </c>
      <c r="BW8">
        <v>5220.9167200000002</v>
      </c>
      <c r="BX8">
        <v>5492.5781850000003</v>
      </c>
      <c r="BY8">
        <v>5509.4794430000002</v>
      </c>
      <c r="BZ8">
        <v>5538.4265889999997</v>
      </c>
      <c r="CA8">
        <v>5680.8298809999997</v>
      </c>
      <c r="CB8">
        <v>5758.0399719999996</v>
      </c>
      <c r="CC8">
        <v>5862.0549220000003</v>
      </c>
      <c r="CD8">
        <v>6202.514201</v>
      </c>
      <c r="CE8">
        <v>6215.9796779999997</v>
      </c>
      <c r="CF8">
        <v>6257.5462859999998</v>
      </c>
      <c r="CG8">
        <v>6512.2251749999996</v>
      </c>
    </row>
    <row r="9" spans="1:85">
      <c r="A9" s="8">
        <v>1969</v>
      </c>
      <c r="B9">
        <v>404.80209100000002</v>
      </c>
      <c r="C9">
        <v>2948.815341</v>
      </c>
      <c r="D9">
        <v>119429.82057500001</v>
      </c>
      <c r="E9">
        <v>20754.883984</v>
      </c>
      <c r="F9">
        <v>10401.106076</v>
      </c>
      <c r="G9">
        <v>9382.9851020000006</v>
      </c>
      <c r="H9">
        <v>9647.6298100000004</v>
      </c>
      <c r="I9">
        <v>116024.684393</v>
      </c>
      <c r="J9">
        <v>15267.602202</v>
      </c>
      <c r="K9">
        <v>26.366461999999999</v>
      </c>
      <c r="M9">
        <f>B9*$N$1/'biomass Atlantis newsimGB'!M9</f>
        <v>1.2580197938614362E-3</v>
      </c>
      <c r="N9">
        <f>C9*$N$1/'biomass Atlantis newsimGB'!N9</f>
        <v>1.5743409610347942E-4</v>
      </c>
      <c r="O9">
        <f>D9*$N$1/'biomass Atlantis newsimGB'!O9</f>
        <v>0.11707105580576431</v>
      </c>
      <c r="P9">
        <f>E9*$N$1/'biomass Atlantis newsimGB'!P9</f>
        <v>5.4776773558353068E-3</v>
      </c>
      <c r="Q9">
        <f>F9*$N$1/'biomass Atlantis newsimGB'!Q9</f>
        <v>2.2500687709707968E-3</v>
      </c>
      <c r="R9">
        <f>G9*$N$1/'biomass Atlantis newsimGB'!R9</f>
        <v>3.0838685920997512E-3</v>
      </c>
      <c r="S9">
        <f>H9*$N$1/'biomass Atlantis newsimGB'!S9</f>
        <v>9.3597346783280549E-3</v>
      </c>
      <c r="T9">
        <f>I9*$N$1/'biomass Atlantis newsimGB'!T9</f>
        <v>5.6105992343824122E-2</v>
      </c>
      <c r="U9">
        <f>J9*$N$1/'biomass Atlantis newsimGB'!U9</f>
        <v>4.4277277294108774E-3</v>
      </c>
      <c r="V9">
        <f>K9*$N$1/'biomass Atlantis newsimGB'!V9</f>
        <v>3.0850054699794652E-5</v>
      </c>
      <c r="X9">
        <f t="shared" si="1"/>
        <v>404.80209100000002</v>
      </c>
      <c r="Y9">
        <f t="shared" si="0"/>
        <v>2948.815341</v>
      </c>
      <c r="Z9">
        <f t="shared" si="0"/>
        <v>119429.82057500001</v>
      </c>
      <c r="AA9">
        <f t="shared" si="0"/>
        <v>20754.883984</v>
      </c>
      <c r="AB9">
        <f t="shared" si="0"/>
        <v>10401.106076</v>
      </c>
      <c r="AC9">
        <f t="shared" si="0"/>
        <v>9382.9851020000006</v>
      </c>
      <c r="AD9">
        <f t="shared" si="0"/>
        <v>9647.6298100000004</v>
      </c>
      <c r="AE9">
        <f t="shared" si="0"/>
        <v>116024.684393</v>
      </c>
      <c r="AF9">
        <f t="shared" si="0"/>
        <v>15267.602202</v>
      </c>
      <c r="AG9">
        <f t="shared" si="0"/>
        <v>26.366461999999999</v>
      </c>
      <c r="AI9">
        <v>25738.909682000001</v>
      </c>
      <c r="AJ9">
        <v>25738.909682000001</v>
      </c>
      <c r="AK9">
        <v>16639.984532999999</v>
      </c>
      <c r="AL9">
        <v>12581.188305</v>
      </c>
      <c r="AM9">
        <v>10765.804217999999</v>
      </c>
      <c r="AN9">
        <v>9647.6298100000004</v>
      </c>
      <c r="AO9">
        <v>9227.089097</v>
      </c>
      <c r="AP9">
        <v>8620.7591109999994</v>
      </c>
      <c r="AQ9">
        <v>8341.7788579999997</v>
      </c>
      <c r="AR9">
        <v>8004.5261909999999</v>
      </c>
      <c r="AS9">
        <v>7693.1215949999996</v>
      </c>
      <c r="AT9">
        <v>7379.7652680000001</v>
      </c>
      <c r="AU9">
        <v>7158.2410959999997</v>
      </c>
      <c r="AV9">
        <v>6883.083952</v>
      </c>
      <c r="AW9">
        <v>6606.6611320000002</v>
      </c>
      <c r="AX9">
        <v>6185.0026870000002</v>
      </c>
      <c r="AY9">
        <v>5822.9551199999996</v>
      </c>
      <c r="AZ9">
        <v>5876.4909779999998</v>
      </c>
      <c r="BA9">
        <v>5498.5131140000003</v>
      </c>
      <c r="BB9">
        <v>5292.321175</v>
      </c>
      <c r="BC9">
        <v>5318.595937</v>
      </c>
      <c r="BD9">
        <v>5492.2790150000001</v>
      </c>
      <c r="BE9">
        <v>5301.6265860000003</v>
      </c>
      <c r="BF9">
        <v>5188.2552619999997</v>
      </c>
      <c r="BG9">
        <v>5240.1657349999996</v>
      </c>
      <c r="BH9">
        <v>5263.2779840000003</v>
      </c>
      <c r="BI9">
        <v>4920.4470419999998</v>
      </c>
      <c r="BJ9">
        <v>4967.6991330000001</v>
      </c>
      <c r="BK9">
        <v>5380.3823069999999</v>
      </c>
      <c r="BL9">
        <v>5072.7007119999998</v>
      </c>
      <c r="BM9">
        <v>5135.337982</v>
      </c>
      <c r="BN9">
        <v>5079.9638649999997</v>
      </c>
      <c r="BO9">
        <v>5141.242628</v>
      </c>
      <c r="BP9">
        <v>4821.7655130000003</v>
      </c>
      <c r="BQ9">
        <v>5218.4902940000002</v>
      </c>
      <c r="BR9">
        <v>5004.9745579999999</v>
      </c>
      <c r="BS9">
        <v>5118.976866</v>
      </c>
      <c r="BT9">
        <v>4991.8992609999996</v>
      </c>
      <c r="BU9">
        <v>4935.5954490000004</v>
      </c>
      <c r="BV9">
        <v>4938.4706779999997</v>
      </c>
      <c r="BW9">
        <v>5056.5402050000002</v>
      </c>
      <c r="BX9">
        <v>4783.4277350000002</v>
      </c>
      <c r="BY9">
        <v>5073.8889719999997</v>
      </c>
      <c r="BZ9">
        <v>4970.5538130000004</v>
      </c>
      <c r="CA9">
        <v>4941.2764569999999</v>
      </c>
      <c r="CB9">
        <v>5038.8520330000001</v>
      </c>
      <c r="CC9">
        <v>4916.2596400000002</v>
      </c>
      <c r="CD9">
        <v>5000.6516620000002</v>
      </c>
      <c r="CE9">
        <v>4977.0424949999997</v>
      </c>
      <c r="CF9">
        <v>4970.1683199999998</v>
      </c>
      <c r="CG9">
        <v>4916.2449210000004</v>
      </c>
    </row>
    <row r="10" spans="1:85">
      <c r="A10" s="8">
        <v>1970</v>
      </c>
      <c r="B10">
        <v>450.566416</v>
      </c>
      <c r="C10">
        <v>3353.6250869999999</v>
      </c>
      <c r="D10">
        <v>118440.153284</v>
      </c>
      <c r="E10">
        <v>22900.170440999998</v>
      </c>
      <c r="F10">
        <v>8909.7641509999994</v>
      </c>
      <c r="G10">
        <v>9423.3353910000005</v>
      </c>
      <c r="H10">
        <v>9227.089097</v>
      </c>
      <c r="I10">
        <v>115336.313369</v>
      </c>
      <c r="J10">
        <v>15369.567290000001</v>
      </c>
      <c r="K10">
        <v>24.894171</v>
      </c>
      <c r="M10">
        <f>B10*$N$1/'biomass Atlantis newsimGB'!M10</f>
        <v>1.3419130881695625E-3</v>
      </c>
      <c r="N10">
        <f>C10*$N$1/'biomass Atlantis newsimGB'!N10</f>
        <v>1.6826498807982472E-4</v>
      </c>
      <c r="O10">
        <f>D10*$N$1/'biomass Atlantis newsimGB'!O10</f>
        <v>0.14865529860599683</v>
      </c>
      <c r="P10">
        <f>E10*$N$1/'biomass Atlantis newsimGB'!P10</f>
        <v>6.2326015137322884E-3</v>
      </c>
      <c r="Q10">
        <f>F10*$N$1/'biomass Atlantis newsimGB'!Q10</f>
        <v>2.1329143987852011E-3</v>
      </c>
      <c r="R10">
        <f>G10*$N$1/'biomass Atlantis newsimGB'!R10</f>
        <v>3.249279178015214E-3</v>
      </c>
      <c r="S10">
        <f>H10*$N$1/'biomass Atlantis newsimGB'!S10</f>
        <v>9.7683351114916626E-3</v>
      </c>
      <c r="T10">
        <f>I10*$N$1/'biomass Atlantis newsimGB'!T10</f>
        <v>7.5796511567435346E-2</v>
      </c>
      <c r="U10">
        <f>J10*$N$1/'biomass Atlantis newsimGB'!U10</f>
        <v>5.0526042157723276E-3</v>
      </c>
      <c r="V10">
        <f>K10*$N$1/'biomass Atlantis newsimGB'!V10</f>
        <v>2.8847655666067562E-5</v>
      </c>
      <c r="X10">
        <f t="shared" si="1"/>
        <v>450.566416</v>
      </c>
      <c r="Y10">
        <f t="shared" si="0"/>
        <v>3353.6250869999999</v>
      </c>
      <c r="Z10">
        <f t="shared" si="0"/>
        <v>118440.153284</v>
      </c>
      <c r="AA10">
        <f t="shared" si="0"/>
        <v>22900.170440999998</v>
      </c>
      <c r="AB10">
        <f t="shared" si="0"/>
        <v>8909.7641509999994</v>
      </c>
      <c r="AC10">
        <f t="shared" si="0"/>
        <v>9423.3353910000005</v>
      </c>
      <c r="AD10">
        <f t="shared" si="0"/>
        <v>9227.089097</v>
      </c>
      <c r="AE10">
        <f t="shared" si="0"/>
        <v>115336.313369</v>
      </c>
      <c r="AF10">
        <f t="shared" si="0"/>
        <v>15369.567290000001</v>
      </c>
      <c r="AG10">
        <f t="shared" si="0"/>
        <v>24.894171</v>
      </c>
      <c r="AI10">
        <v>96777.481123999998</v>
      </c>
      <c r="AJ10">
        <v>96777.481123999998</v>
      </c>
      <c r="AK10">
        <v>91408.318008000002</v>
      </c>
      <c r="AL10">
        <v>102420.98183800001</v>
      </c>
      <c r="AM10">
        <v>116100.162793</v>
      </c>
      <c r="AN10">
        <v>116024.684393</v>
      </c>
      <c r="AO10">
        <v>115336.313369</v>
      </c>
      <c r="AP10">
        <v>115201.135339</v>
      </c>
      <c r="AQ10">
        <v>115125.076338</v>
      </c>
      <c r="AR10">
        <v>115373.86537499999</v>
      </c>
      <c r="AS10">
        <v>115211.587548</v>
      </c>
      <c r="AT10">
        <v>114838.865509</v>
      </c>
      <c r="AU10">
        <v>104894.451153</v>
      </c>
      <c r="AV10">
        <v>82880.405767999997</v>
      </c>
      <c r="AW10">
        <v>381.26998500000002</v>
      </c>
      <c r="AX10">
        <v>449.68301600000001</v>
      </c>
      <c r="AY10">
        <v>646.80250999999998</v>
      </c>
      <c r="AZ10">
        <v>667.07339899999999</v>
      </c>
      <c r="BA10">
        <v>553.00797899999998</v>
      </c>
      <c r="BB10">
        <v>700.544535</v>
      </c>
      <c r="BC10">
        <v>1382.4815189999999</v>
      </c>
      <c r="BD10">
        <v>1845.2742900000001</v>
      </c>
      <c r="BE10">
        <v>1915.5929610000001</v>
      </c>
      <c r="BF10">
        <v>3491.6489980000001</v>
      </c>
      <c r="BG10">
        <v>2926.0651509999998</v>
      </c>
      <c r="BH10">
        <v>2909.5315169999999</v>
      </c>
      <c r="BI10">
        <v>2547.2506429999999</v>
      </c>
      <c r="BJ10">
        <v>3457.5165280000001</v>
      </c>
      <c r="BK10">
        <v>2681.5998519999998</v>
      </c>
      <c r="BL10">
        <v>2203.6989279999998</v>
      </c>
      <c r="BM10">
        <v>3332.79702</v>
      </c>
      <c r="BN10">
        <v>2621.427072</v>
      </c>
      <c r="BO10">
        <v>3034.4895489999999</v>
      </c>
      <c r="BP10">
        <v>4724.3861790000001</v>
      </c>
      <c r="BQ10">
        <v>7313.6337819999999</v>
      </c>
      <c r="BR10">
        <v>5750.2392129999998</v>
      </c>
      <c r="BS10">
        <v>9988.4696999999996</v>
      </c>
      <c r="BT10">
        <v>11025.068055</v>
      </c>
      <c r="BU10">
        <v>15364.96053</v>
      </c>
      <c r="BV10">
        <v>14373.865256999999</v>
      </c>
      <c r="BW10">
        <v>19629.317752999999</v>
      </c>
      <c r="BX10">
        <v>14218.210268000001</v>
      </c>
      <c r="BY10">
        <v>19792.392331999999</v>
      </c>
      <c r="BZ10">
        <v>26234.769432000001</v>
      </c>
      <c r="CA10">
        <v>21320.057102999999</v>
      </c>
      <c r="CB10">
        <v>23413.334986000002</v>
      </c>
      <c r="CC10">
        <v>31482.365052000001</v>
      </c>
      <c r="CD10">
        <v>33365.795502000001</v>
      </c>
      <c r="CE10">
        <v>38882.382590000001</v>
      </c>
      <c r="CF10">
        <v>39616.946257000003</v>
      </c>
      <c r="CG10">
        <v>46583.644630000003</v>
      </c>
    </row>
    <row r="11" spans="1:85">
      <c r="A11" s="8">
        <v>1971</v>
      </c>
      <c r="B11">
        <v>472.46796399999999</v>
      </c>
      <c r="C11">
        <v>3775.140742</v>
      </c>
      <c r="D11">
        <v>117389.13256100001</v>
      </c>
      <c r="E11">
        <v>23588.330795000002</v>
      </c>
      <c r="F11">
        <v>7915.8453799999997</v>
      </c>
      <c r="G11">
        <v>9524.4985519999991</v>
      </c>
      <c r="H11">
        <v>8620.7591109999994</v>
      </c>
      <c r="I11">
        <v>115201.135339</v>
      </c>
      <c r="J11">
        <v>16405.531350000001</v>
      </c>
      <c r="K11">
        <v>21.671987000000001</v>
      </c>
      <c r="M11">
        <f>B11*$N$1/'biomass Atlantis newsimGB'!M11</f>
        <v>1.3287426213951527E-3</v>
      </c>
      <c r="N11">
        <f>C11*$N$1/'biomass Atlantis newsimGB'!N11</f>
        <v>1.8522064726427039E-4</v>
      </c>
      <c r="O11">
        <f>D11*$N$1/'biomass Atlantis newsimGB'!O11</f>
        <v>0.17554635624622317</v>
      </c>
      <c r="P11">
        <f>E11*$N$1/'biomass Atlantis newsimGB'!P11</f>
        <v>6.6440603660028619E-3</v>
      </c>
      <c r="Q11">
        <f>F11*$N$1/'biomass Atlantis newsimGB'!Q11</f>
        <v>2.0925893059103645E-3</v>
      </c>
      <c r="R11">
        <f>G11*$N$1/'biomass Atlantis newsimGB'!R11</f>
        <v>3.4514838236130558E-3</v>
      </c>
      <c r="S11">
        <f>H11*$N$1/'biomass Atlantis newsimGB'!S11</f>
        <v>9.6014563942961074E-3</v>
      </c>
      <c r="T11">
        <f>I11*$N$1/'biomass Atlantis newsimGB'!T11</f>
        <v>7.0912416225381081E-2</v>
      </c>
      <c r="U11">
        <f>J11*$N$1/'biomass Atlantis newsimGB'!U11</f>
        <v>6.14920718839841E-3</v>
      </c>
      <c r="V11">
        <f>K11*$N$1/'biomass Atlantis newsimGB'!V11</f>
        <v>2.4786667208027081E-5</v>
      </c>
      <c r="X11">
        <f t="shared" si="1"/>
        <v>472.46796399999999</v>
      </c>
      <c r="Y11">
        <f t="shared" si="0"/>
        <v>3775.140742</v>
      </c>
      <c r="Z11">
        <f t="shared" si="0"/>
        <v>117389.13256100001</v>
      </c>
      <c r="AA11">
        <f t="shared" si="0"/>
        <v>23588.330795000002</v>
      </c>
      <c r="AB11">
        <f t="shared" si="0"/>
        <v>7915.8453799999997</v>
      </c>
      <c r="AC11">
        <f t="shared" si="0"/>
        <v>9524.4985519999991</v>
      </c>
      <c r="AD11">
        <f t="shared" si="0"/>
        <v>8620.7591109999994</v>
      </c>
      <c r="AE11">
        <f t="shared" si="0"/>
        <v>115201.135339</v>
      </c>
      <c r="AF11">
        <f t="shared" si="0"/>
        <v>16405.531350000001</v>
      </c>
      <c r="AG11">
        <f t="shared" si="0"/>
        <v>21.671987000000001</v>
      </c>
      <c r="AI11">
        <v>21059.022249000001</v>
      </c>
      <c r="AJ11">
        <v>19979.163713999998</v>
      </c>
      <c r="AK11">
        <v>19098.450787000002</v>
      </c>
      <c r="AL11">
        <v>16832.719419000001</v>
      </c>
      <c r="AM11">
        <v>15267.602202</v>
      </c>
      <c r="AN11">
        <v>15369.567290000001</v>
      </c>
      <c r="AO11">
        <v>16405.531350000001</v>
      </c>
      <c r="AP11">
        <v>14531.641411000001</v>
      </c>
      <c r="AQ11">
        <v>14245.155932</v>
      </c>
      <c r="AR11">
        <v>13952.619011000001</v>
      </c>
      <c r="AS11">
        <v>14848.288956</v>
      </c>
      <c r="AT11">
        <v>16188.227312000001</v>
      </c>
      <c r="AU11">
        <v>14585.490707999999</v>
      </c>
      <c r="AV11">
        <v>12118.445043</v>
      </c>
      <c r="AW11">
        <v>15370.609758000001</v>
      </c>
      <c r="AX11">
        <v>17459.959586000001</v>
      </c>
      <c r="AY11">
        <v>19258.409498000001</v>
      </c>
      <c r="AZ11">
        <v>17496.244621999998</v>
      </c>
      <c r="BA11">
        <v>21005.601845000001</v>
      </c>
      <c r="BB11">
        <v>21101.052236</v>
      </c>
      <c r="BC11">
        <v>17690.864783000001</v>
      </c>
      <c r="BD11">
        <v>15934.061193</v>
      </c>
      <c r="BE11">
        <v>13635.009765999999</v>
      </c>
      <c r="BF11">
        <v>12539.227027999999</v>
      </c>
      <c r="BG11">
        <v>11747.383053</v>
      </c>
      <c r="BH11">
        <v>10804.493294</v>
      </c>
      <c r="BI11">
        <v>11878.391159999999</v>
      </c>
      <c r="BJ11">
        <v>13001.583914999999</v>
      </c>
      <c r="BK11">
        <v>13615.009034999999</v>
      </c>
      <c r="BL11">
        <v>14532.127872999999</v>
      </c>
      <c r="BM11">
        <v>11582.943832999999</v>
      </c>
      <c r="BN11">
        <v>14762.427841000001</v>
      </c>
      <c r="BO11">
        <v>12687.205758</v>
      </c>
      <c r="BP11">
        <v>10304.431597000001</v>
      </c>
      <c r="BQ11">
        <v>11089.621295999999</v>
      </c>
      <c r="BR11">
        <v>10726.475574</v>
      </c>
      <c r="BS11">
        <v>10216.320663</v>
      </c>
      <c r="BT11">
        <v>11200.245174</v>
      </c>
      <c r="BU11">
        <v>10335.746611</v>
      </c>
      <c r="BV11">
        <v>10251.135213</v>
      </c>
      <c r="BW11">
        <v>10713.298546</v>
      </c>
      <c r="BX11">
        <v>11894.108751</v>
      </c>
      <c r="BY11">
        <v>12486.881642</v>
      </c>
      <c r="BZ11">
        <v>12625.281376999999</v>
      </c>
      <c r="CA11">
        <v>12907.683214000001</v>
      </c>
      <c r="CB11">
        <v>13128.351051</v>
      </c>
      <c r="CC11">
        <v>13390.976436999999</v>
      </c>
      <c r="CD11">
        <v>13159.052745999999</v>
      </c>
      <c r="CE11">
        <v>12881.290691</v>
      </c>
      <c r="CF11">
        <v>12893.741193</v>
      </c>
      <c r="CG11">
        <v>347.02735100000001</v>
      </c>
    </row>
    <row r="12" spans="1:85">
      <c r="A12" s="8">
        <v>1972</v>
      </c>
      <c r="B12">
        <v>520.45973800000002</v>
      </c>
      <c r="C12">
        <v>4190.7824129999999</v>
      </c>
      <c r="D12">
        <v>117154.87104100001</v>
      </c>
      <c r="E12">
        <v>24132.221646999998</v>
      </c>
      <c r="F12">
        <v>7174.4923760000001</v>
      </c>
      <c r="G12">
        <v>9612.4731950000005</v>
      </c>
      <c r="H12">
        <v>8341.7788579999997</v>
      </c>
      <c r="I12">
        <v>115125.076338</v>
      </c>
      <c r="J12">
        <v>14531.641411000001</v>
      </c>
      <c r="K12">
        <v>27.240076999999999</v>
      </c>
      <c r="M12">
        <f>B12*$N$1/'biomass Atlantis newsimGB'!M12</f>
        <v>1.3281057718532749E-3</v>
      </c>
      <c r="N12">
        <f>C12*$N$1/'biomass Atlantis newsimGB'!N12</f>
        <v>1.9839651116726774E-4</v>
      </c>
      <c r="O12">
        <f>D12*$N$1/'biomass Atlantis newsimGB'!O12</f>
        <v>0.21606662816214645</v>
      </c>
      <c r="P12">
        <f>E12*$N$1/'biomass Atlantis newsimGB'!P12</f>
        <v>7.1128442384671767E-3</v>
      </c>
      <c r="Q12">
        <f>F12*$N$1/'biomass Atlantis newsimGB'!Q12</f>
        <v>2.0720033524323821E-3</v>
      </c>
      <c r="R12">
        <f>G12*$N$1/'biomass Atlantis newsimGB'!R12</f>
        <v>3.714951826338601E-3</v>
      </c>
      <c r="S12">
        <f>H12*$N$1/'biomass Atlantis newsimGB'!S12</f>
        <v>1.0093430248857683E-2</v>
      </c>
      <c r="T12">
        <f>I12*$N$1/'biomass Atlantis newsimGB'!T12</f>
        <v>7.455776281835795E-2</v>
      </c>
      <c r="U12">
        <f>J12*$N$1/'biomass Atlantis newsimGB'!U12</f>
        <v>5.9264080403260179E-3</v>
      </c>
      <c r="V12">
        <f>K12*$N$1/'biomass Atlantis newsimGB'!V12</f>
        <v>3.1029155819117846E-5</v>
      </c>
      <c r="X12">
        <f t="shared" si="1"/>
        <v>520.45973800000002</v>
      </c>
      <c r="Y12">
        <f t="shared" si="0"/>
        <v>4190.7824129999999</v>
      </c>
      <c r="Z12">
        <f t="shared" si="0"/>
        <v>117154.87104100001</v>
      </c>
      <c r="AA12">
        <f t="shared" si="0"/>
        <v>24132.221646999998</v>
      </c>
      <c r="AB12">
        <f t="shared" si="0"/>
        <v>7174.4923760000001</v>
      </c>
      <c r="AC12">
        <f t="shared" si="0"/>
        <v>9612.4731950000005</v>
      </c>
      <c r="AD12">
        <f t="shared" si="0"/>
        <v>8341.7788579999997</v>
      </c>
      <c r="AE12">
        <f t="shared" si="0"/>
        <v>115125.076338</v>
      </c>
      <c r="AF12">
        <f t="shared" si="0"/>
        <v>14531.641411000001</v>
      </c>
      <c r="AG12">
        <f t="shared" si="0"/>
        <v>27.240076999999999</v>
      </c>
      <c r="AI12">
        <v>4.7085840000000001</v>
      </c>
      <c r="AJ12">
        <v>3.2127669999999999</v>
      </c>
      <c r="AK12">
        <v>14.266474000000001</v>
      </c>
      <c r="AL12">
        <v>33.741591999999997</v>
      </c>
      <c r="AM12">
        <v>26.366461999999999</v>
      </c>
      <c r="AN12">
        <v>24.894171</v>
      </c>
      <c r="AO12">
        <v>21.671987000000001</v>
      </c>
      <c r="AP12">
        <v>27.240076999999999</v>
      </c>
      <c r="AQ12">
        <v>53.892328999999997</v>
      </c>
      <c r="AR12">
        <v>132.576168</v>
      </c>
      <c r="AS12">
        <v>207.639015</v>
      </c>
      <c r="AT12">
        <v>380.00151599999998</v>
      </c>
      <c r="AU12">
        <v>499.35163699999998</v>
      </c>
      <c r="AV12">
        <v>587.61115099999995</v>
      </c>
      <c r="AW12">
        <v>669.38664200000005</v>
      </c>
      <c r="AX12">
        <v>771.55003699999997</v>
      </c>
      <c r="AY12">
        <v>734.14847699999996</v>
      </c>
      <c r="AZ12">
        <v>560.06749000000002</v>
      </c>
      <c r="BA12">
        <v>651.18903299999999</v>
      </c>
      <c r="BB12">
        <v>759.57268299999998</v>
      </c>
      <c r="BC12">
        <v>780.58162600000003</v>
      </c>
      <c r="BD12">
        <v>756.09601899999996</v>
      </c>
      <c r="BE12">
        <v>762.75003200000003</v>
      </c>
      <c r="BF12">
        <v>674.24492599999996</v>
      </c>
      <c r="BG12">
        <v>636.78176800000006</v>
      </c>
      <c r="BH12">
        <v>680.74117100000001</v>
      </c>
      <c r="BI12">
        <v>691.78032499999995</v>
      </c>
      <c r="BJ12">
        <v>697.71247900000003</v>
      </c>
      <c r="BK12">
        <v>848.34372699999994</v>
      </c>
      <c r="BL12">
        <v>921.757293</v>
      </c>
      <c r="BM12">
        <v>722.28511200000003</v>
      </c>
      <c r="BN12">
        <v>1160.4305360000001</v>
      </c>
      <c r="BO12">
        <v>1155.134996</v>
      </c>
      <c r="BP12">
        <v>1079.214641</v>
      </c>
      <c r="BQ12">
        <v>1349.95903</v>
      </c>
      <c r="BR12">
        <v>1482.992898</v>
      </c>
      <c r="BS12">
        <v>1325.679061</v>
      </c>
      <c r="BT12">
        <v>1245.895747</v>
      </c>
      <c r="BU12">
        <v>1113.6343489999999</v>
      </c>
      <c r="BV12">
        <v>969.75856699999997</v>
      </c>
      <c r="BW12">
        <v>899.68777499999999</v>
      </c>
      <c r="BX12">
        <v>972.16411800000003</v>
      </c>
      <c r="BY12">
        <v>1058.6032600000001</v>
      </c>
      <c r="BZ12">
        <v>1146.1476720000001</v>
      </c>
      <c r="CA12">
        <v>1115.805241</v>
      </c>
      <c r="CB12">
        <v>1104.25407</v>
      </c>
      <c r="CC12">
        <v>1149.4867019999999</v>
      </c>
      <c r="CD12">
        <v>1143.5995559999999</v>
      </c>
      <c r="CE12">
        <v>1113.0458530000001</v>
      </c>
      <c r="CF12">
        <v>1209.6876830000001</v>
      </c>
      <c r="CG12">
        <v>21.619451000000002</v>
      </c>
    </row>
    <row r="13" spans="1:85">
      <c r="A13" s="8">
        <v>1973</v>
      </c>
      <c r="B13">
        <v>589.58914200000004</v>
      </c>
      <c r="C13">
        <v>4678.7824289999999</v>
      </c>
      <c r="D13">
        <v>116547.378274</v>
      </c>
      <c r="E13">
        <v>24478.019195000001</v>
      </c>
      <c r="F13">
        <v>6635.5679760000003</v>
      </c>
      <c r="G13">
        <v>9963.2055409999994</v>
      </c>
      <c r="H13">
        <v>8004.5261909999999</v>
      </c>
      <c r="I13">
        <v>115373.86537499999</v>
      </c>
      <c r="J13">
        <v>14245.155932</v>
      </c>
      <c r="K13">
        <v>53.892328999999997</v>
      </c>
      <c r="M13">
        <f>B13*$N$1/'biomass Atlantis newsimGB'!M13</f>
        <v>1.4025920420533417E-3</v>
      </c>
      <c r="N13">
        <f>C13*$N$1/'biomass Atlantis newsimGB'!N13</f>
        <v>2.1356439049527451E-4</v>
      </c>
      <c r="O13">
        <f>D13*$N$1/'biomass Atlantis newsimGB'!O13</f>
        <v>0.2461140634817966</v>
      </c>
      <c r="P13">
        <f>E13*$N$1/'biomass Atlantis newsimGB'!P13</f>
        <v>7.6026795136011818E-3</v>
      </c>
      <c r="Q13">
        <f>F13*$N$1/'biomass Atlantis newsimGB'!Q13</f>
        <v>2.0737764919918668E-3</v>
      </c>
      <c r="R13">
        <f>G13*$N$1/'biomass Atlantis newsimGB'!R13</f>
        <v>3.9640328503259712E-3</v>
      </c>
      <c r="S13">
        <f>H13*$N$1/'biomass Atlantis newsimGB'!S13</f>
        <v>1.0461143666473355E-2</v>
      </c>
      <c r="T13">
        <f>I13*$N$1/'biomass Atlantis newsimGB'!T13</f>
        <v>8.157557332353195E-2</v>
      </c>
      <c r="U13">
        <f>J13*$N$1/'biomass Atlantis newsimGB'!U13</f>
        <v>6.7909908597934355E-3</v>
      </c>
      <c r="V13">
        <f>K13*$N$1/'biomass Atlantis newsimGB'!V13</f>
        <v>6.0993255268207631E-5</v>
      </c>
      <c r="X13">
        <f t="shared" si="1"/>
        <v>589.58914200000004</v>
      </c>
      <c r="Y13">
        <f t="shared" si="0"/>
        <v>4678.7824289999999</v>
      </c>
      <c r="Z13">
        <f t="shared" si="0"/>
        <v>116547.378274</v>
      </c>
      <c r="AA13">
        <f t="shared" si="0"/>
        <v>24478.019195000001</v>
      </c>
      <c r="AB13">
        <f t="shared" si="0"/>
        <v>6635.5679760000003</v>
      </c>
      <c r="AC13">
        <f t="shared" si="0"/>
        <v>9963.2055409999994</v>
      </c>
      <c r="AD13">
        <f t="shared" si="0"/>
        <v>8004.5261909999999</v>
      </c>
      <c r="AE13">
        <f t="shared" si="0"/>
        <v>115373.86537499999</v>
      </c>
      <c r="AF13">
        <f t="shared" si="0"/>
        <v>14245.155932</v>
      </c>
      <c r="AG13">
        <f t="shared" si="0"/>
        <v>53.892328999999997</v>
      </c>
    </row>
    <row r="14" spans="1:85">
      <c r="A14" s="8">
        <v>1974</v>
      </c>
      <c r="B14">
        <v>708.99684300000001</v>
      </c>
      <c r="C14">
        <v>5148.3284030000004</v>
      </c>
      <c r="D14">
        <v>116246.002873</v>
      </c>
      <c r="E14">
        <v>24556.040896999999</v>
      </c>
      <c r="F14">
        <v>6269.4077989999996</v>
      </c>
      <c r="G14">
        <v>10178.345851</v>
      </c>
      <c r="H14">
        <v>7693.1215949999996</v>
      </c>
      <c r="I14">
        <v>115211.587548</v>
      </c>
      <c r="J14">
        <v>13952.619011000001</v>
      </c>
      <c r="K14">
        <v>132.576168</v>
      </c>
      <c r="M14">
        <f>B14*$N$1/'biomass Atlantis newsimGB'!M14</f>
        <v>1.5647752962590952E-3</v>
      </c>
      <c r="N14">
        <f>C14*$N$1/'biomass Atlantis newsimGB'!N14</f>
        <v>2.3571679434636168E-4</v>
      </c>
      <c r="O14">
        <f>D14*$N$1/'biomass Atlantis newsimGB'!O14</f>
        <v>0.25895943631995655</v>
      </c>
      <c r="P14">
        <f>E14*$N$1/'biomass Atlantis newsimGB'!P14</f>
        <v>8.0076303248027923E-3</v>
      </c>
      <c r="Q14">
        <f>F14*$N$1/'biomass Atlantis newsimGB'!Q14</f>
        <v>2.1112117591225023E-3</v>
      </c>
      <c r="R14">
        <f>G14*$N$1/'biomass Atlantis newsimGB'!R14</f>
        <v>4.3135858978851352E-3</v>
      </c>
      <c r="S14">
        <f>H14*$N$1/'biomass Atlantis newsimGB'!S14</f>
        <v>1.0936882091433505E-2</v>
      </c>
      <c r="T14">
        <f>I14*$N$1/'biomass Atlantis newsimGB'!T14</f>
        <v>8.8241581755227533E-2</v>
      </c>
      <c r="U14">
        <f>J14*$N$1/'biomass Atlantis newsimGB'!U14</f>
        <v>7.7674429929382423E-3</v>
      </c>
      <c r="V14">
        <f>K14*$N$1/'biomass Atlantis newsimGB'!V14</f>
        <v>1.5112089279943643E-4</v>
      </c>
      <c r="X14">
        <f t="shared" si="1"/>
        <v>708.99684300000001</v>
      </c>
      <c r="Y14">
        <f t="shared" si="0"/>
        <v>5148.3284030000004</v>
      </c>
      <c r="Z14">
        <f t="shared" si="0"/>
        <v>116246.002873</v>
      </c>
      <c r="AA14">
        <f t="shared" si="0"/>
        <v>24556.040896999999</v>
      </c>
      <c r="AB14">
        <f t="shared" si="0"/>
        <v>6269.4077989999996</v>
      </c>
      <c r="AC14">
        <f t="shared" si="0"/>
        <v>10178.345851</v>
      </c>
      <c r="AD14">
        <f t="shared" si="0"/>
        <v>7693.1215949999996</v>
      </c>
      <c r="AE14">
        <f t="shared" si="0"/>
        <v>115211.587548</v>
      </c>
      <c r="AF14">
        <f t="shared" si="0"/>
        <v>13952.619011000001</v>
      </c>
      <c r="AG14">
        <f t="shared" si="0"/>
        <v>132.576168</v>
      </c>
    </row>
    <row r="15" spans="1:85">
      <c r="A15" s="8">
        <v>1975</v>
      </c>
      <c r="B15">
        <v>786.78938800000003</v>
      </c>
      <c r="C15">
        <v>5571.3212960000001</v>
      </c>
      <c r="D15">
        <v>116077.440095</v>
      </c>
      <c r="E15">
        <v>24517.343147</v>
      </c>
      <c r="F15">
        <v>5952.4677389999997</v>
      </c>
      <c r="G15">
        <v>10266.319659000001</v>
      </c>
      <c r="H15">
        <v>7379.7652680000001</v>
      </c>
      <c r="I15">
        <v>114838.865509</v>
      </c>
      <c r="J15">
        <v>14848.288956</v>
      </c>
      <c r="K15">
        <v>207.639015</v>
      </c>
      <c r="M15">
        <f>B15*$N$1/'biomass Atlantis newsimGB'!M15</f>
        <v>1.6071871462571784E-3</v>
      </c>
      <c r="N15">
        <f>C15*$N$1/'biomass Atlantis newsimGB'!N15</f>
        <v>2.5142574699091411E-4</v>
      </c>
      <c r="O15">
        <f>D15*$N$1/'biomass Atlantis newsimGB'!O15</f>
        <v>0.23510895589819825</v>
      </c>
      <c r="P15">
        <f>E15*$N$1/'biomass Atlantis newsimGB'!P15</f>
        <v>8.4176085380506648E-3</v>
      </c>
      <c r="Q15">
        <f>F15*$N$1/'biomass Atlantis newsimGB'!Q15</f>
        <v>2.1491995611003451E-3</v>
      </c>
      <c r="R15">
        <f>G15*$N$1/'biomass Atlantis newsimGB'!R15</f>
        <v>4.6102590079150161E-3</v>
      </c>
      <c r="S15">
        <f>H15*$N$1/'biomass Atlantis newsimGB'!S15</f>
        <v>1.137622312502462E-2</v>
      </c>
      <c r="T15">
        <f>I15*$N$1/'biomass Atlantis newsimGB'!T15</f>
        <v>0.14123040600387687</v>
      </c>
      <c r="U15">
        <f>J15*$N$1/'biomass Atlantis newsimGB'!U15</f>
        <v>9.6134363779389921E-3</v>
      </c>
      <c r="V15">
        <f>K15*$N$1/'biomass Atlantis newsimGB'!V15</f>
        <v>2.3461624683409498E-4</v>
      </c>
      <c r="X15">
        <f t="shared" si="1"/>
        <v>786.78938800000003</v>
      </c>
      <c r="Y15">
        <f t="shared" si="0"/>
        <v>5571.3212960000001</v>
      </c>
      <c r="Z15">
        <f t="shared" si="0"/>
        <v>116077.440095</v>
      </c>
      <c r="AA15">
        <f t="shared" si="0"/>
        <v>24517.343147</v>
      </c>
      <c r="AB15">
        <f t="shared" si="0"/>
        <v>5952.4677389999997</v>
      </c>
      <c r="AC15">
        <f t="shared" si="0"/>
        <v>10266.319659000001</v>
      </c>
      <c r="AD15">
        <f t="shared" si="0"/>
        <v>7379.7652680000001</v>
      </c>
      <c r="AE15">
        <f t="shared" si="0"/>
        <v>114838.865509</v>
      </c>
      <c r="AF15">
        <f t="shared" si="0"/>
        <v>14848.288956</v>
      </c>
      <c r="AG15">
        <f t="shared" si="0"/>
        <v>207.639015</v>
      </c>
    </row>
    <row r="16" spans="1:85">
      <c r="A16" s="8">
        <v>1976</v>
      </c>
      <c r="B16">
        <v>881.68898000000002</v>
      </c>
      <c r="C16">
        <v>6130.0857189999997</v>
      </c>
      <c r="D16">
        <v>115916.97278900001</v>
      </c>
      <c r="E16">
        <v>24719.28412</v>
      </c>
      <c r="F16">
        <v>5965.4156839999996</v>
      </c>
      <c r="G16">
        <v>10030.998591</v>
      </c>
      <c r="H16">
        <v>7158.2410959999997</v>
      </c>
      <c r="I16">
        <v>104894.451153</v>
      </c>
      <c r="J16">
        <v>16188.227312000001</v>
      </c>
      <c r="K16">
        <v>380.00151599999998</v>
      </c>
      <c r="M16">
        <f>B16*$N$1/'biomass Atlantis newsimGB'!M16</f>
        <v>1.673699624216411E-3</v>
      </c>
      <c r="N16">
        <f>C16*$N$1/'biomass Atlantis newsimGB'!N16</f>
        <v>2.7379306930215287E-4</v>
      </c>
      <c r="O16">
        <f>D16*$N$1/'biomass Atlantis newsimGB'!O16</f>
        <v>0.29133715221708578</v>
      </c>
      <c r="P16">
        <f>E16*$N$1/'biomass Atlantis newsimGB'!P16</f>
        <v>9.0312174130081739E-3</v>
      </c>
      <c r="Q16">
        <f>F16*$N$1/'biomass Atlantis newsimGB'!Q16</f>
        <v>2.3276347646331175E-3</v>
      </c>
      <c r="R16">
        <f>G16*$N$1/'biomass Atlantis newsimGB'!R16</f>
        <v>4.9075991246377727E-3</v>
      </c>
      <c r="S16">
        <f>H16*$N$1/'biomass Atlantis newsimGB'!S16</f>
        <v>1.2339735097720638E-2</v>
      </c>
      <c r="T16">
        <f>I16*$N$1/'biomass Atlantis newsimGB'!T16</f>
        <v>0.20292226639110597</v>
      </c>
      <c r="U16">
        <f>J16*$N$1/'biomass Atlantis newsimGB'!U16</f>
        <v>1.2463028186927402E-2</v>
      </c>
      <c r="V16">
        <f>K16*$N$1/'biomass Atlantis newsimGB'!V16</f>
        <v>4.3623580058133927E-4</v>
      </c>
      <c r="X16">
        <f t="shared" si="1"/>
        <v>881.68898000000002</v>
      </c>
      <c r="Y16">
        <f t="shared" si="0"/>
        <v>6130.0857189999997</v>
      </c>
      <c r="Z16">
        <f t="shared" si="0"/>
        <v>115916.97278900001</v>
      </c>
      <c r="AA16">
        <f t="shared" si="0"/>
        <v>24719.28412</v>
      </c>
      <c r="AB16">
        <f t="shared" si="0"/>
        <v>5965.4156839999996</v>
      </c>
      <c r="AC16">
        <f t="shared" si="0"/>
        <v>10030.998591</v>
      </c>
      <c r="AD16">
        <f t="shared" si="0"/>
        <v>7158.2410959999997</v>
      </c>
      <c r="AE16">
        <f t="shared" si="0"/>
        <v>104894.451153</v>
      </c>
      <c r="AF16">
        <f t="shared" si="0"/>
        <v>16188.227312000001</v>
      </c>
      <c r="AG16">
        <f t="shared" si="0"/>
        <v>380.00151599999998</v>
      </c>
      <c r="AI16" t="s">
        <v>248</v>
      </c>
    </row>
    <row r="17" spans="1:85">
      <c r="A17" s="8">
        <v>1977</v>
      </c>
      <c r="B17">
        <v>1052.626906</v>
      </c>
      <c r="C17">
        <v>6646.9508169999999</v>
      </c>
      <c r="D17">
        <v>115677.694661</v>
      </c>
      <c r="E17">
        <v>24656.069427999999</v>
      </c>
      <c r="F17">
        <v>5759.2543180000002</v>
      </c>
      <c r="G17">
        <v>10073.221027</v>
      </c>
      <c r="H17">
        <v>6883.083952</v>
      </c>
      <c r="I17">
        <v>82880.405767999997</v>
      </c>
      <c r="J17">
        <v>14585.490707999999</v>
      </c>
      <c r="K17">
        <v>499.35163699999998</v>
      </c>
      <c r="M17">
        <f>B17*$N$1/'biomass Atlantis newsimGB'!M17</f>
        <v>1.8656182060076065E-3</v>
      </c>
      <c r="N17">
        <f>C17*$N$1/'biomass Atlantis newsimGB'!N17</f>
        <v>3.0855961861106832E-4</v>
      </c>
      <c r="O17">
        <f>D17*$N$1/'biomass Atlantis newsimGB'!O17</f>
        <v>0.33951330135904784</v>
      </c>
      <c r="P17">
        <f>E17*$N$1/'biomass Atlantis newsimGB'!P17</f>
        <v>9.6228935796456253E-3</v>
      </c>
      <c r="Q17">
        <f>F17*$N$1/'biomass Atlantis newsimGB'!Q17</f>
        <v>2.4337607802626623E-3</v>
      </c>
      <c r="R17">
        <f>G17*$N$1/'biomass Atlantis newsimGB'!R17</f>
        <v>5.1822518405060585E-3</v>
      </c>
      <c r="S17">
        <f>H17*$N$1/'biomass Atlantis newsimGB'!S17</f>
        <v>1.3292860893441028E-2</v>
      </c>
      <c r="T17">
        <f>I17*$N$1/'biomass Atlantis newsimGB'!T17</f>
        <v>0.18983221553344184</v>
      </c>
      <c r="U17">
        <f>J17*$N$1/'biomass Atlantis newsimGB'!U17</f>
        <v>1.4148445234700113E-2</v>
      </c>
      <c r="V17">
        <f>K17*$N$1/'biomass Atlantis newsimGB'!V17</f>
        <v>5.7390769925657161E-4</v>
      </c>
      <c r="X17">
        <f t="shared" si="1"/>
        <v>1052.626906</v>
      </c>
      <c r="Y17">
        <f t="shared" si="0"/>
        <v>6646.9508169999999</v>
      </c>
      <c r="Z17">
        <f t="shared" si="0"/>
        <v>115677.694661</v>
      </c>
      <c r="AA17">
        <f t="shared" si="0"/>
        <v>24656.069427999999</v>
      </c>
      <c r="AB17">
        <f t="shared" si="0"/>
        <v>5759.2543180000002</v>
      </c>
      <c r="AC17">
        <f t="shared" si="0"/>
        <v>10073.221027</v>
      </c>
      <c r="AD17">
        <f t="shared" si="0"/>
        <v>6883.083952</v>
      </c>
      <c r="AE17">
        <f t="shared" si="0"/>
        <v>82880.405767999997</v>
      </c>
      <c r="AF17">
        <f t="shared" si="0"/>
        <v>14585.490707999999</v>
      </c>
      <c r="AG17">
        <f t="shared" si="0"/>
        <v>499.35163699999998</v>
      </c>
      <c r="AI17" s="1">
        <f>AI3/'biomass Atlantis newsimGB'!X4</f>
        <v>1.12658817627824E-3</v>
      </c>
      <c r="AJ17" s="1">
        <f>AJ3/'biomass Atlantis newsimGB'!Y4</f>
        <v>1.1420098776662451E-3</v>
      </c>
      <c r="AK17" s="1">
        <f>AK3/'biomass Atlantis newsimGB'!Z4</f>
        <v>1.2186740729811997E-3</v>
      </c>
      <c r="AL17" s="1">
        <f>AL3/'biomass Atlantis newsimGB'!AA4</f>
        <v>1.1877393539140816E-3</v>
      </c>
      <c r="AM17" s="1">
        <f>AM3/'biomass Atlantis newsimGB'!AB4</f>
        <v>1.3876073525936575E-3</v>
      </c>
      <c r="AN17" s="1">
        <f>AN3/'biomass Atlantis newsimGB'!AC4</f>
        <v>1.2580197938614362E-3</v>
      </c>
      <c r="AO17" s="1">
        <f>AO3/'biomass Atlantis newsimGB'!AD4</f>
        <v>1.3419130881695625E-3</v>
      </c>
      <c r="AP17" s="1">
        <f>AP3/'biomass Atlantis newsimGB'!AE4</f>
        <v>1.3287426213951527E-3</v>
      </c>
      <c r="AQ17" s="1">
        <f>AQ3/'biomass Atlantis newsimGB'!AF4</f>
        <v>1.3281057718532749E-3</v>
      </c>
      <c r="AR17" s="1">
        <f>AR3/'biomass Atlantis newsimGB'!AG4</f>
        <v>1.4025920420533417E-3</v>
      </c>
      <c r="AS17" s="1">
        <f>AS3/'biomass Atlantis newsimGB'!AH4</f>
        <v>1.5647752962590952E-3</v>
      </c>
      <c r="AT17" s="1">
        <f>AT3/'biomass Atlantis newsimGB'!AI4</f>
        <v>1.6071871462571784E-3</v>
      </c>
      <c r="AU17" s="1">
        <f>AU3/'biomass Atlantis newsimGB'!AJ4</f>
        <v>1.673699624216411E-3</v>
      </c>
      <c r="AV17" s="1">
        <f>AV3/'biomass Atlantis newsimGB'!AK4</f>
        <v>1.8656182060076065E-3</v>
      </c>
      <c r="AW17" s="1">
        <f>AW3/'biomass Atlantis newsimGB'!AL4</f>
        <v>1.9112714725858248E-3</v>
      </c>
      <c r="AX17" s="1">
        <f>AX3/'biomass Atlantis newsimGB'!AM4</f>
        <v>1.9862637645482119E-3</v>
      </c>
      <c r="AY17" s="1">
        <f>AY3/'biomass Atlantis newsimGB'!AN4</f>
        <v>2.1102706256693228E-3</v>
      </c>
      <c r="AZ17" s="1">
        <f>AZ3/'biomass Atlantis newsimGB'!AO4</f>
        <v>2.2344836344059199E-3</v>
      </c>
      <c r="BA17" s="1">
        <f>BA3/'biomass Atlantis newsimGB'!AP4</f>
        <v>2.2907835181013294E-3</v>
      </c>
      <c r="BB17" s="1">
        <f>BB3/'biomass Atlantis newsimGB'!AQ4</f>
        <v>2.3457824573422967E-3</v>
      </c>
      <c r="BC17" s="1">
        <f>BC3/'biomass Atlantis newsimGB'!AR4</f>
        <v>2.3829338739917339E-3</v>
      </c>
      <c r="BD17" s="1">
        <f>BD3/'biomass Atlantis newsimGB'!AS4</f>
        <v>2.0114020045407179E-3</v>
      </c>
      <c r="BE17" s="1">
        <f>BE3/'biomass Atlantis newsimGB'!AT4</f>
        <v>2.3702739206080937E-3</v>
      </c>
      <c r="BF17" s="1">
        <f>BF3/'biomass Atlantis newsimGB'!AU4</f>
        <v>2.3719653638849618E-3</v>
      </c>
      <c r="BG17" s="1">
        <f>BG3/'biomass Atlantis newsimGB'!AV4</f>
        <v>2.3184489828158936E-3</v>
      </c>
      <c r="BH17" s="1">
        <f>BH3/'biomass Atlantis newsimGB'!AW4</f>
        <v>2.3828647057913071E-3</v>
      </c>
      <c r="BI17" s="1">
        <f>BI3/'biomass Atlantis newsimGB'!AX4</f>
        <v>2.3516077975356884E-3</v>
      </c>
      <c r="BJ17" s="1">
        <f>BJ3/'biomass Atlantis newsimGB'!AY4</f>
        <v>2.2046894285189518E-3</v>
      </c>
      <c r="BK17" s="1">
        <f>BK3/'biomass Atlantis newsimGB'!AZ4</f>
        <v>2.4508627921200829E-3</v>
      </c>
      <c r="BL17" s="1">
        <f>BL3/'biomass Atlantis newsimGB'!BA4</f>
        <v>2.4690923879964093E-3</v>
      </c>
      <c r="BM17" s="1">
        <f>BM3/'biomass Atlantis newsimGB'!BB4</f>
        <v>2.3822321536582191E-3</v>
      </c>
      <c r="BN17" s="1">
        <f>BN3/'biomass Atlantis newsimGB'!BC4</f>
        <v>2.3961788186951938E-3</v>
      </c>
      <c r="BO17" s="1">
        <f>BO3/'biomass Atlantis newsimGB'!BD4</f>
        <v>2.4807099045157841E-3</v>
      </c>
      <c r="BP17" s="1">
        <f>BP3/'biomass Atlantis newsimGB'!BE4</f>
        <v>2.2714746385031608E-3</v>
      </c>
      <c r="BQ17" s="1">
        <f>BQ3/'biomass Atlantis newsimGB'!BF4</f>
        <v>2.4084105179554122E-3</v>
      </c>
      <c r="BR17" s="1">
        <f>BR3/'biomass Atlantis newsimGB'!BG4</f>
        <v>2.4560614684212313E-3</v>
      </c>
      <c r="BS17" s="1">
        <f>BS3/'biomass Atlantis newsimGB'!BH4</f>
        <v>2.550445173707774E-3</v>
      </c>
      <c r="BT17" s="1">
        <f>BT3/'biomass Atlantis newsimGB'!BI4</f>
        <v>2.4495839196135801E-3</v>
      </c>
      <c r="BU17" s="1">
        <f>BU3/'biomass Atlantis newsimGB'!BJ4</f>
        <v>2.4159914947233692E-3</v>
      </c>
      <c r="BV17" s="1">
        <f>BV3/'biomass Atlantis newsimGB'!BK4</f>
        <v>2.4542572366675315E-3</v>
      </c>
      <c r="BW17" s="1">
        <f>BW3/'biomass Atlantis newsimGB'!BL4</f>
        <v>2.1406986256374948E-3</v>
      </c>
      <c r="BX17" s="1">
        <f>BX3/'biomass Atlantis newsimGB'!BM4</f>
        <v>2.564555085628085E-3</v>
      </c>
      <c r="BY17" s="1">
        <f>BY3/'biomass Atlantis newsimGB'!BN4</f>
        <v>3.0142593823688137E-3</v>
      </c>
      <c r="BZ17" s="1">
        <f>BZ3/'biomass Atlantis newsimGB'!BO4</f>
        <v>3.459951880446426E-3</v>
      </c>
      <c r="CA17" s="1">
        <f>CA3/'biomass Atlantis newsimGB'!BP4</f>
        <v>3.7181196285777387E-3</v>
      </c>
      <c r="CB17" s="1">
        <f>CB3/'biomass Atlantis newsimGB'!BQ4</f>
        <v>3.5459768179538949E-3</v>
      </c>
      <c r="CC17" s="1">
        <f>CC3/'biomass Atlantis newsimGB'!BR4</f>
        <v>3.3806722802376672E-3</v>
      </c>
      <c r="CD17" s="1">
        <f>CD3/'biomass Atlantis newsimGB'!BS4</f>
        <v>3.5039390527304183E-3</v>
      </c>
      <c r="CE17" s="1">
        <f>CE3/'biomass Atlantis newsimGB'!BT4</f>
        <v>3.493811651520724E-3</v>
      </c>
      <c r="CF17" s="1">
        <f>CF3/'biomass Atlantis newsimGB'!BU4</f>
        <v>3.4184616428677424E-3</v>
      </c>
      <c r="CG17" s="1">
        <f>CG3/'biomass Atlantis newsimGB'!BV4</f>
        <v>3.4895997357679174E-3</v>
      </c>
    </row>
    <row r="18" spans="1:85">
      <c r="A18" s="8">
        <v>1978</v>
      </c>
      <c r="B18">
        <v>1153.9553510000001</v>
      </c>
      <c r="C18">
        <v>7046.42605</v>
      </c>
      <c r="D18">
        <v>2587.6688349999999</v>
      </c>
      <c r="E18">
        <v>25068.986776999998</v>
      </c>
      <c r="F18">
        <v>5639.0006940000003</v>
      </c>
      <c r="G18">
        <v>10131.939482</v>
      </c>
      <c r="H18">
        <v>6606.6611320000002</v>
      </c>
      <c r="I18">
        <v>381.26998500000002</v>
      </c>
      <c r="J18">
        <v>12118.445043</v>
      </c>
      <c r="K18">
        <v>587.61115099999995</v>
      </c>
      <c r="M18">
        <f>B18*$N$1/'biomass Atlantis newsimGB'!M18</f>
        <v>1.9112714725858248E-3</v>
      </c>
      <c r="N18">
        <f>C18*$N$1/'biomass Atlantis newsimGB'!N18</f>
        <v>3.3068759921201527E-4</v>
      </c>
      <c r="O18">
        <f>D18*$N$1/'biomass Atlantis newsimGB'!O18</f>
        <v>3.8686187787776629E-3</v>
      </c>
      <c r="P18">
        <f>E18*$N$1/'biomass Atlantis newsimGB'!P18</f>
        <v>1.0346615290428686E-2</v>
      </c>
      <c r="Q18">
        <f>F18*$N$1/'biomass Atlantis newsimGB'!Q18</f>
        <v>2.5699434904834424E-3</v>
      </c>
      <c r="R18">
        <f>G18*$N$1/'biomass Atlantis newsimGB'!R18</f>
        <v>5.6529359266966851E-3</v>
      </c>
      <c r="S18">
        <f>H18*$N$1/'biomass Atlantis newsimGB'!S18</f>
        <v>1.4422865411509901E-2</v>
      </c>
      <c r="T18">
        <f>I18*$N$1/'biomass Atlantis newsimGB'!T18</f>
        <v>5.6941824695884338E-4</v>
      </c>
      <c r="U18">
        <f>J18*$N$1/'biomass Atlantis newsimGB'!U18</f>
        <v>8.2697746285971645E-3</v>
      </c>
      <c r="V18">
        <f>K18*$N$1/'biomass Atlantis newsimGB'!V18</f>
        <v>6.7128095133648172E-4</v>
      </c>
      <c r="X18">
        <f t="shared" si="1"/>
        <v>1153.9553510000001</v>
      </c>
      <c r="Y18">
        <f t="shared" si="0"/>
        <v>7046.42605</v>
      </c>
      <c r="Z18">
        <f t="shared" si="0"/>
        <v>2587.6688349999999</v>
      </c>
      <c r="AA18">
        <f t="shared" si="0"/>
        <v>25068.986776999998</v>
      </c>
      <c r="AB18">
        <f t="shared" si="0"/>
        <v>5639.0006940000003</v>
      </c>
      <c r="AC18">
        <f t="shared" si="0"/>
        <v>10131.939482</v>
      </c>
      <c r="AD18">
        <f t="shared" si="0"/>
        <v>6606.6611320000002</v>
      </c>
      <c r="AE18">
        <f t="shared" si="0"/>
        <v>381.26998500000002</v>
      </c>
      <c r="AF18">
        <f t="shared" si="0"/>
        <v>12118.445043</v>
      </c>
      <c r="AG18">
        <f t="shared" si="0"/>
        <v>587.61115099999995</v>
      </c>
      <c r="AI18" s="1">
        <f>AI4/'biomass Atlantis newsimGB'!X5</f>
        <v>2.2911908002851145E-4</v>
      </c>
      <c r="AJ18" s="1">
        <f>AJ4/'biomass Atlantis newsimGB'!Y5</f>
        <v>1.7527925300115778E-4</v>
      </c>
      <c r="AK18" s="1">
        <f>AK4/'biomass Atlantis newsimGB'!Z5</f>
        <v>1.564360571496783E-4</v>
      </c>
      <c r="AL18" s="1">
        <f>AL4/'biomass Atlantis newsimGB'!AA5</f>
        <v>1.4779148814529888E-4</v>
      </c>
      <c r="AM18" s="1">
        <f>AM4/'biomass Atlantis newsimGB'!AB5</f>
        <v>1.499272966314576E-4</v>
      </c>
      <c r="AN18" s="1">
        <f>AN4/'biomass Atlantis newsimGB'!AC5</f>
        <v>1.5743409610347942E-4</v>
      </c>
      <c r="AO18" s="1">
        <f>AO4/'biomass Atlantis newsimGB'!AD5</f>
        <v>1.6826498807982472E-4</v>
      </c>
      <c r="AP18" s="1">
        <f>AP4/'biomass Atlantis newsimGB'!AE5</f>
        <v>1.8522064726427039E-4</v>
      </c>
      <c r="AQ18" s="1">
        <f>AQ4/'biomass Atlantis newsimGB'!AF5</f>
        <v>1.9839651116726774E-4</v>
      </c>
      <c r="AR18" s="1">
        <f>AR4/'biomass Atlantis newsimGB'!AG5</f>
        <v>2.1356439049527451E-4</v>
      </c>
      <c r="AS18" s="1">
        <f>AS4/'biomass Atlantis newsimGB'!AH5</f>
        <v>2.3571679434636168E-4</v>
      </c>
      <c r="AT18" s="1">
        <f>AT4/'biomass Atlantis newsimGB'!AI5</f>
        <v>2.5142574699091411E-4</v>
      </c>
      <c r="AU18" s="1">
        <f>AU4/'biomass Atlantis newsimGB'!AJ5</f>
        <v>2.7379306930215287E-4</v>
      </c>
      <c r="AV18" s="1">
        <f>AV4/'biomass Atlantis newsimGB'!AK5</f>
        <v>3.0855961861106832E-4</v>
      </c>
      <c r="AW18" s="1">
        <f>AW4/'biomass Atlantis newsimGB'!AL5</f>
        <v>3.3068759921201527E-4</v>
      </c>
      <c r="AX18" s="1">
        <f>AX4/'biomass Atlantis newsimGB'!AM5</f>
        <v>3.5941352400752335E-4</v>
      </c>
      <c r="AY18" s="1">
        <f>AY4/'biomass Atlantis newsimGB'!AN5</f>
        <v>4.0690076028799556E-4</v>
      </c>
      <c r="AZ18" s="1">
        <f>AZ4/'biomass Atlantis newsimGB'!AO5</f>
        <v>4.260662081480542E-4</v>
      </c>
      <c r="BA18" s="1">
        <f>BA4/'biomass Atlantis newsimGB'!AP5</f>
        <v>4.548999718974798E-4</v>
      </c>
      <c r="BB18" s="1">
        <f>BB4/'biomass Atlantis newsimGB'!AQ5</f>
        <v>4.9955772143993728E-4</v>
      </c>
      <c r="BC18" s="1">
        <f>BC4/'biomass Atlantis newsimGB'!AR5</f>
        <v>5.2092549177841865E-4</v>
      </c>
      <c r="BD18" s="1">
        <f>BD4/'biomass Atlantis newsimGB'!AS5</f>
        <v>5.4137309200093448E-4</v>
      </c>
      <c r="BE18" s="1">
        <f>BE4/'biomass Atlantis newsimGB'!AT5</f>
        <v>6.0011478695463341E-4</v>
      </c>
      <c r="BF18" s="1">
        <f>BF4/'biomass Atlantis newsimGB'!AU5</f>
        <v>6.2391096011530799E-4</v>
      </c>
      <c r="BG18" s="1">
        <f>BG4/'biomass Atlantis newsimGB'!AV5</f>
        <v>6.6405089617240182E-4</v>
      </c>
      <c r="BH18" s="1">
        <f>BH4/'biomass Atlantis newsimGB'!AW5</f>
        <v>6.912721477265795E-4</v>
      </c>
      <c r="BI18" s="1">
        <f>BI4/'biomass Atlantis newsimGB'!AX5</f>
        <v>6.7613820993676454E-4</v>
      </c>
      <c r="BJ18" s="1">
        <f>BJ4/'biomass Atlantis newsimGB'!AY5</f>
        <v>6.7239041086475631E-4</v>
      </c>
      <c r="BK18" s="1">
        <f>BK4/'biomass Atlantis newsimGB'!AZ5</f>
        <v>6.7845642908238445E-4</v>
      </c>
      <c r="BL18" s="1">
        <f>BL4/'biomass Atlantis newsimGB'!BA5</f>
        <v>6.844951119717083E-4</v>
      </c>
      <c r="BM18" s="1">
        <f>BM4/'biomass Atlantis newsimGB'!BB5</f>
        <v>6.8232569086301112E-4</v>
      </c>
      <c r="BN18" s="1">
        <f>BN4/'biomass Atlantis newsimGB'!BC5</f>
        <v>6.9006718322394778E-4</v>
      </c>
      <c r="BO18" s="1">
        <f>BO4/'biomass Atlantis newsimGB'!BD5</f>
        <v>7.0422015807253767E-4</v>
      </c>
      <c r="BP18" s="1">
        <f>BP4/'biomass Atlantis newsimGB'!BE5</f>
        <v>6.9755715479261494E-4</v>
      </c>
      <c r="BQ18" s="1">
        <f>BQ4/'biomass Atlantis newsimGB'!BF5</f>
        <v>7.091064636157333E-4</v>
      </c>
      <c r="BR18" s="1">
        <f>BR4/'biomass Atlantis newsimGB'!BG5</f>
        <v>6.9678010555972256E-4</v>
      </c>
      <c r="BS18" s="1">
        <f>BS4/'biomass Atlantis newsimGB'!BH5</f>
        <v>6.8686223735061345E-4</v>
      </c>
      <c r="BT18" s="1">
        <f>BT4/'biomass Atlantis newsimGB'!BI5</f>
        <v>6.6556975045344317E-4</v>
      </c>
      <c r="BU18" s="1">
        <f>BU4/'biomass Atlantis newsimGB'!BJ5</f>
        <v>6.4081812106848415E-4</v>
      </c>
      <c r="BV18" s="1">
        <f>BV4/'biomass Atlantis newsimGB'!BK5</f>
        <v>6.1645634436827503E-4</v>
      </c>
      <c r="BW18" s="1">
        <f>BW4/'biomass Atlantis newsimGB'!BL5</f>
        <v>6.0536280025673297E-4</v>
      </c>
      <c r="BX18" s="1">
        <f>BX4/'biomass Atlantis newsimGB'!BM5</f>
        <v>5.9386788878538826E-4</v>
      </c>
      <c r="BY18" s="1">
        <f>BY4/'biomass Atlantis newsimGB'!BN5</f>
        <v>5.8078220326745632E-4</v>
      </c>
      <c r="BZ18" s="1">
        <f>BZ4/'biomass Atlantis newsimGB'!BO5</f>
        <v>5.7115443401568259E-4</v>
      </c>
      <c r="CA18" s="1">
        <f>CA4/'biomass Atlantis newsimGB'!BP5</f>
        <v>5.5326258797678608E-4</v>
      </c>
      <c r="CB18" s="1">
        <f>CB4/'biomass Atlantis newsimGB'!BQ5</f>
        <v>5.4726809779845537E-4</v>
      </c>
      <c r="CC18" s="1">
        <f>CC4/'biomass Atlantis newsimGB'!BR5</f>
        <v>5.4315650480316557E-4</v>
      </c>
      <c r="CD18" s="1">
        <f>CD4/'biomass Atlantis newsimGB'!BS5</f>
        <v>5.3737144492167559E-4</v>
      </c>
      <c r="CE18" s="1">
        <f>CE4/'biomass Atlantis newsimGB'!BT5</f>
        <v>5.2617990613869152E-4</v>
      </c>
      <c r="CF18" s="1">
        <f>CF4/'biomass Atlantis newsimGB'!BU5</f>
        <v>5.1820051845287061E-4</v>
      </c>
      <c r="CG18" s="1">
        <f>CG4/'biomass Atlantis newsimGB'!BV5</f>
        <v>5.1567415553601358E-4</v>
      </c>
    </row>
    <row r="19" spans="1:85">
      <c r="A19" s="8">
        <v>1979</v>
      </c>
      <c r="B19">
        <v>1279.3765860000001</v>
      </c>
      <c r="C19">
        <v>7586.0497839999998</v>
      </c>
      <c r="D19">
        <v>4321.4725479999997</v>
      </c>
      <c r="E19">
        <v>25190.937774000002</v>
      </c>
      <c r="F19">
        <v>5567.9783319999997</v>
      </c>
      <c r="G19">
        <v>10287.110124000001</v>
      </c>
      <c r="H19">
        <v>6185.0026870000002</v>
      </c>
      <c r="I19">
        <v>449.68301600000001</v>
      </c>
      <c r="J19">
        <v>15370.609758000001</v>
      </c>
      <c r="K19">
        <v>669.38664200000005</v>
      </c>
      <c r="M19">
        <f>B19*$N$1/'biomass Atlantis newsimGB'!M19</f>
        <v>1.9862637645482119E-3</v>
      </c>
      <c r="N19">
        <f>C19*$N$1/'biomass Atlantis newsimGB'!N19</f>
        <v>3.5941352400752335E-4</v>
      </c>
      <c r="O19">
        <f>D19*$N$1/'biomass Atlantis newsimGB'!O19</f>
        <v>4.1406155876959087E-3</v>
      </c>
      <c r="P19">
        <f>E19*$N$1/'biomass Atlantis newsimGB'!P19</f>
        <v>1.1205125276378699E-2</v>
      </c>
      <c r="Q19">
        <f>F19*$N$1/'biomass Atlantis newsimGB'!Q19</f>
        <v>2.7743753362194246E-3</v>
      </c>
      <c r="R19">
        <f>G19*$N$1/'biomass Atlantis newsimGB'!R19</f>
        <v>6.2003029512041063E-3</v>
      </c>
      <c r="S19">
        <f>H19*$N$1/'biomass Atlantis newsimGB'!S19</f>
        <v>1.4929028717732483E-2</v>
      </c>
      <c r="T19">
        <f>I19*$N$1/'biomass Atlantis newsimGB'!T19</f>
        <v>4.2567730531554418E-4</v>
      </c>
      <c r="U19">
        <f>J19*$N$1/'biomass Atlantis newsimGB'!U19</f>
        <v>7.8594908448489653E-3</v>
      </c>
      <c r="V19">
        <f>K19*$N$1/'biomass Atlantis newsimGB'!V19</f>
        <v>7.5278294812509007E-4</v>
      </c>
      <c r="X19">
        <f t="shared" si="1"/>
        <v>1279.3765860000001</v>
      </c>
      <c r="Y19">
        <f t="shared" si="0"/>
        <v>7586.0497839999998</v>
      </c>
      <c r="Z19">
        <f t="shared" si="0"/>
        <v>4321.4725479999997</v>
      </c>
      <c r="AA19">
        <f t="shared" si="0"/>
        <v>25190.937774000002</v>
      </c>
      <c r="AB19">
        <f t="shared" si="0"/>
        <v>5567.9783319999997</v>
      </c>
      <c r="AC19">
        <f t="shared" si="0"/>
        <v>10287.110124000001</v>
      </c>
      <c r="AD19">
        <f t="shared" si="0"/>
        <v>6185.0026870000002</v>
      </c>
      <c r="AE19">
        <f t="shared" si="0"/>
        <v>449.68301600000001</v>
      </c>
      <c r="AF19">
        <f t="shared" si="0"/>
        <v>15370.609758000001</v>
      </c>
      <c r="AG19">
        <f t="shared" si="0"/>
        <v>669.38664200000005</v>
      </c>
      <c r="AI19" s="1">
        <f>AI5/'biomass Atlantis newsimGB'!X6</f>
        <v>4.2677770769585226E-2</v>
      </c>
      <c r="AJ19" s="1">
        <f>AJ5/'biomass Atlantis newsimGB'!Y6</f>
        <v>4.9073692309338196E-2</v>
      </c>
      <c r="AK19" s="1">
        <f>AK5/'biomass Atlantis newsimGB'!Z6</f>
        <v>5.8389853082770823E-2</v>
      </c>
      <c r="AL19" s="1">
        <f>AL5/'biomass Atlantis newsimGB'!AA6</f>
        <v>7.2331422193596562E-2</v>
      </c>
      <c r="AM19" s="1">
        <f>AM5/'biomass Atlantis newsimGB'!AB6</f>
        <v>9.2254654349277987E-2</v>
      </c>
      <c r="AN19" s="1">
        <f>AN5/'biomass Atlantis newsimGB'!AC6</f>
        <v>0.11707105580576431</v>
      </c>
      <c r="AO19" s="1">
        <f>AO5/'biomass Atlantis newsimGB'!AD6</f>
        <v>0.14865529860599683</v>
      </c>
      <c r="AP19" s="1">
        <f>AP5/'biomass Atlantis newsimGB'!AE6</f>
        <v>0.17554635624622317</v>
      </c>
      <c r="AQ19" s="1">
        <f>AQ5/'biomass Atlantis newsimGB'!AF6</f>
        <v>0.21606662816214645</v>
      </c>
      <c r="AR19" s="1">
        <f>AR5/'biomass Atlantis newsimGB'!AG6</f>
        <v>0.2461140634817966</v>
      </c>
      <c r="AS19" s="1">
        <f>AS5/'biomass Atlantis newsimGB'!AH6</f>
        <v>0.25895943631995655</v>
      </c>
      <c r="AT19" s="1">
        <f>AT5/'biomass Atlantis newsimGB'!AI6</f>
        <v>0.23510895589819825</v>
      </c>
      <c r="AU19" s="1">
        <f>AU5/'biomass Atlantis newsimGB'!AJ6</f>
        <v>0.29133715221708578</v>
      </c>
      <c r="AV19" s="1">
        <f>AV5/'biomass Atlantis newsimGB'!AK6</f>
        <v>0.33951330135904784</v>
      </c>
      <c r="AW19" s="1">
        <f>AW5/'biomass Atlantis newsimGB'!AL6</f>
        <v>3.8686187787776629E-3</v>
      </c>
      <c r="AX19" s="1">
        <f>AX5/'biomass Atlantis newsimGB'!AM6</f>
        <v>4.1406155876959087E-3</v>
      </c>
      <c r="AY19" s="1">
        <f>AY5/'biomass Atlantis newsimGB'!AN6</f>
        <v>4.9146689407723234E-3</v>
      </c>
      <c r="AZ19" s="1">
        <f>AZ5/'biomass Atlantis newsimGB'!AO6</f>
        <v>5.2649325937980437E-3</v>
      </c>
      <c r="BA19" s="1">
        <f>BA5/'biomass Atlantis newsimGB'!AP6</f>
        <v>5.0900164589348373E-3</v>
      </c>
      <c r="BB19" s="1">
        <f>BB5/'biomass Atlantis newsimGB'!AQ6</f>
        <v>3.9564331605506367E-3</v>
      </c>
      <c r="BC19" s="1">
        <f>BC5/'biomass Atlantis newsimGB'!AR6</f>
        <v>4.9506820521414913E-3</v>
      </c>
      <c r="BD19" s="1">
        <f>BD5/'biomass Atlantis newsimGB'!AS6</f>
        <v>5.805560830644995E-3</v>
      </c>
      <c r="BE19" s="1">
        <f>BE5/'biomass Atlantis newsimGB'!AT6</f>
        <v>6.9504865457626084E-3</v>
      </c>
      <c r="BF19" s="1">
        <f>BF5/'biomass Atlantis newsimGB'!AU6</f>
        <v>8.4422405061303028E-3</v>
      </c>
      <c r="BG19" s="1">
        <f>BG5/'biomass Atlantis newsimGB'!AV6</f>
        <v>9.4288916767030113E-3</v>
      </c>
      <c r="BH19" s="1">
        <f>BH5/'biomass Atlantis newsimGB'!AW6</f>
        <v>1.0479230347267885E-2</v>
      </c>
      <c r="BI19" s="1">
        <f>BI5/'biomass Atlantis newsimGB'!AX6</f>
        <v>1.0153209729999295E-2</v>
      </c>
      <c r="BJ19" s="1">
        <f>BJ5/'biomass Atlantis newsimGB'!AY6</f>
        <v>9.6546150363939678E-3</v>
      </c>
      <c r="BK19" s="1">
        <f>BK5/'biomass Atlantis newsimGB'!AZ6</f>
        <v>1.0787492890859229E-2</v>
      </c>
      <c r="BL19" s="1">
        <f>BL5/'biomass Atlantis newsimGB'!BA6</f>
        <v>1.0068672081646933E-2</v>
      </c>
      <c r="BM19" s="1">
        <f>BM5/'biomass Atlantis newsimGB'!BB6</f>
        <v>8.2954765787864853E-3</v>
      </c>
      <c r="BN19" s="1">
        <f>BN5/'biomass Atlantis newsimGB'!BC6</f>
        <v>1.0408843239488147E-2</v>
      </c>
      <c r="BO19" s="1">
        <f>BO5/'biomass Atlantis newsimGB'!BD6</f>
        <v>1.4118768519339653E-2</v>
      </c>
      <c r="BP19" s="1">
        <f>BP5/'biomass Atlantis newsimGB'!BE6</f>
        <v>1.2469694013380762E-2</v>
      </c>
      <c r="BQ19" s="1">
        <f>BQ5/'biomass Atlantis newsimGB'!BF6</f>
        <v>1.9087355331190093E-2</v>
      </c>
      <c r="BR19" s="1">
        <f>BR5/'biomass Atlantis newsimGB'!BG6</f>
        <v>2.1504605512979856E-2</v>
      </c>
      <c r="BS19" s="1">
        <f>BS5/'biomass Atlantis newsimGB'!BH6</f>
        <v>2.6730033100473265E-2</v>
      </c>
      <c r="BT19" s="1">
        <f>BT5/'biomass Atlantis newsimGB'!BI6</f>
        <v>2.2665992195797759E-2</v>
      </c>
      <c r="BU19" s="1">
        <f>BU5/'biomass Atlantis newsimGB'!BJ6</f>
        <v>3.1832972703881454E-2</v>
      </c>
      <c r="BV19" s="1">
        <f>BV5/'biomass Atlantis newsimGB'!BK6</f>
        <v>3.7539979455574995E-2</v>
      </c>
      <c r="BW19" s="1">
        <f>BW5/'biomass Atlantis newsimGB'!BL6</f>
        <v>2.8154128220049215E-2</v>
      </c>
      <c r="BX19" s="1">
        <f>BX5/'biomass Atlantis newsimGB'!BM6</f>
        <v>3.9846366099825607E-2</v>
      </c>
      <c r="BY19" s="1">
        <f>BY5/'biomass Atlantis newsimGB'!BN6</f>
        <v>5.3685234089478992E-2</v>
      </c>
      <c r="BZ19" s="1">
        <f>BZ5/'biomass Atlantis newsimGB'!BO6</f>
        <v>6.4433459719777555E-2</v>
      </c>
      <c r="CA19" s="1">
        <f>CA5/'biomass Atlantis newsimGB'!BP6</f>
        <v>5.9136827606730787E-2</v>
      </c>
      <c r="CB19" s="1">
        <f>CB5/'biomass Atlantis newsimGB'!BQ6</f>
        <v>7.1552015517602804E-2</v>
      </c>
      <c r="CC19" s="1">
        <f>CC5/'biomass Atlantis newsimGB'!BR6</f>
        <v>6.937480770214291E-2</v>
      </c>
      <c r="CD19" s="1">
        <f>CD5/'biomass Atlantis newsimGB'!BS6</f>
        <v>5.7737663219846358E-2</v>
      </c>
      <c r="CE19" s="1">
        <f>CE5/'biomass Atlantis newsimGB'!BT6</f>
        <v>7.0963378220050874E-2</v>
      </c>
      <c r="CF19" s="1">
        <f>CF5/'biomass Atlantis newsimGB'!BU6</f>
        <v>6.7508655026371225E-2</v>
      </c>
      <c r="CG19" s="1">
        <f>CG5/'biomass Atlantis newsimGB'!BV6</f>
        <v>6.7040694910035198E-2</v>
      </c>
    </row>
    <row r="20" spans="1:85">
      <c r="A20" s="8">
        <v>1980</v>
      </c>
      <c r="B20">
        <v>1446.390128</v>
      </c>
      <c r="C20">
        <v>8037.6785730000001</v>
      </c>
      <c r="D20">
        <v>6650.0763699999998</v>
      </c>
      <c r="E20">
        <v>24582.747651999998</v>
      </c>
      <c r="F20">
        <v>5208.6910470000003</v>
      </c>
      <c r="G20">
        <v>10230.988022</v>
      </c>
      <c r="H20">
        <v>5822.9551199999996</v>
      </c>
      <c r="I20">
        <v>646.80250999999998</v>
      </c>
      <c r="J20">
        <v>17459.959586000001</v>
      </c>
      <c r="K20">
        <v>771.55003699999997</v>
      </c>
      <c r="M20">
        <f>B20*$N$1/'biomass Atlantis newsimGB'!M20</f>
        <v>2.1102706256693228E-3</v>
      </c>
      <c r="N20">
        <f>C20*$N$1/'biomass Atlantis newsimGB'!N20</f>
        <v>4.0690076028799556E-4</v>
      </c>
      <c r="O20">
        <f>D20*$N$1/'biomass Atlantis newsimGB'!O20</f>
        <v>4.9146689407723234E-3</v>
      </c>
      <c r="P20">
        <f>E20*$N$1/'biomass Atlantis newsimGB'!P20</f>
        <v>1.1838995237238302E-2</v>
      </c>
      <c r="Q20">
        <f>F20*$N$1/'biomass Atlantis newsimGB'!Q20</f>
        <v>2.8280136330421702E-3</v>
      </c>
      <c r="R20">
        <f>G20*$N$1/'biomass Atlantis newsimGB'!R20</f>
        <v>6.8214032140285165E-3</v>
      </c>
      <c r="S20">
        <f>H20*$N$1/'biomass Atlantis newsimGB'!S20</f>
        <v>1.5418589382108206E-2</v>
      </c>
      <c r="T20">
        <f>I20*$N$1/'biomass Atlantis newsimGB'!T20</f>
        <v>6.4538867705803344E-4</v>
      </c>
      <c r="U20">
        <f>J20*$N$1/'biomass Atlantis newsimGB'!U20</f>
        <v>7.50770641875985E-3</v>
      </c>
      <c r="V20">
        <f>K20*$N$1/'biomass Atlantis newsimGB'!V20</f>
        <v>8.7199318838352097E-4</v>
      </c>
      <c r="X20">
        <f t="shared" si="1"/>
        <v>1446.390128</v>
      </c>
      <c r="Y20">
        <f t="shared" si="1"/>
        <v>8037.6785730000001</v>
      </c>
      <c r="Z20">
        <f t="shared" si="1"/>
        <v>6650.0763699999998</v>
      </c>
      <c r="AA20">
        <f t="shared" si="1"/>
        <v>24582.747651999998</v>
      </c>
      <c r="AB20">
        <f t="shared" si="1"/>
        <v>5208.6910470000003</v>
      </c>
      <c r="AC20">
        <f t="shared" si="1"/>
        <v>10230.988022</v>
      </c>
      <c r="AD20">
        <f t="shared" si="1"/>
        <v>5822.9551199999996</v>
      </c>
      <c r="AE20">
        <f t="shared" si="1"/>
        <v>646.80250999999998</v>
      </c>
      <c r="AF20">
        <f t="shared" si="1"/>
        <v>17459.959586000001</v>
      </c>
      <c r="AG20">
        <f t="shared" si="1"/>
        <v>771.55003699999997</v>
      </c>
      <c r="AI20" s="1">
        <f>AI6/'biomass Atlantis newsimGB'!X7</f>
        <v>6.5777647547297499E-3</v>
      </c>
      <c r="AJ20" s="1">
        <f>AJ6/'biomass Atlantis newsimGB'!Y7</f>
        <v>6.6122010980483852E-3</v>
      </c>
      <c r="AK20" s="1">
        <f>AK6/'biomass Atlantis newsimGB'!Z7</f>
        <v>5.7345939503051337E-3</v>
      </c>
      <c r="AL20" s="1">
        <f>AL6/'biomass Atlantis newsimGB'!AA7</f>
        <v>5.1429590528932921E-3</v>
      </c>
      <c r="AM20" s="1">
        <f>AM6/'biomass Atlantis newsimGB'!AB7</f>
        <v>4.9172579561558042E-3</v>
      </c>
      <c r="AN20" s="1">
        <f>AN6/'biomass Atlantis newsimGB'!AC7</f>
        <v>5.4776773558353068E-3</v>
      </c>
      <c r="AO20" s="1">
        <f>AO6/'biomass Atlantis newsimGB'!AD7</f>
        <v>6.2326015137322884E-3</v>
      </c>
      <c r="AP20" s="1">
        <f>AP6/'biomass Atlantis newsimGB'!AE7</f>
        <v>6.6440603660028619E-3</v>
      </c>
      <c r="AQ20" s="1">
        <f>AQ6/'biomass Atlantis newsimGB'!AF7</f>
        <v>7.1128442384671767E-3</v>
      </c>
      <c r="AR20" s="1">
        <f>AR6/'biomass Atlantis newsimGB'!AG7</f>
        <v>7.6026795136011818E-3</v>
      </c>
      <c r="AS20" s="1">
        <f>AS6/'biomass Atlantis newsimGB'!AH7</f>
        <v>8.0076303248027923E-3</v>
      </c>
      <c r="AT20" s="1">
        <f>AT6/'biomass Atlantis newsimGB'!AI7</f>
        <v>8.4176085380506648E-3</v>
      </c>
      <c r="AU20" s="1">
        <f>AU6/'biomass Atlantis newsimGB'!AJ7</f>
        <v>9.0312174130081739E-3</v>
      </c>
      <c r="AV20" s="1">
        <f>AV6/'biomass Atlantis newsimGB'!AK7</f>
        <v>9.6228935796456253E-3</v>
      </c>
      <c r="AW20" s="1">
        <f>AW6/'biomass Atlantis newsimGB'!AL7</f>
        <v>1.0346615290428686E-2</v>
      </c>
      <c r="AX20" s="1">
        <f>AX6/'biomass Atlantis newsimGB'!AM7</f>
        <v>1.1205125276378699E-2</v>
      </c>
      <c r="AY20" s="1">
        <f>AY6/'biomass Atlantis newsimGB'!AN7</f>
        <v>1.1838995237238302E-2</v>
      </c>
      <c r="AZ20" s="1">
        <f>AZ6/'biomass Atlantis newsimGB'!AO7</f>
        <v>1.2115972555981106E-2</v>
      </c>
      <c r="BA20" s="1">
        <f>BA6/'biomass Atlantis newsimGB'!AP7</f>
        <v>1.2310999261048559E-2</v>
      </c>
      <c r="BB20" s="1">
        <f>BB6/'biomass Atlantis newsimGB'!AQ7</f>
        <v>1.241900910355731E-2</v>
      </c>
      <c r="BC20" s="1">
        <f>BC6/'biomass Atlantis newsimGB'!AR7</f>
        <v>1.2645285140920035E-2</v>
      </c>
      <c r="BD20" s="1">
        <f>BD6/'biomass Atlantis newsimGB'!AS7</f>
        <v>1.2883443875581334E-2</v>
      </c>
      <c r="BE20" s="1">
        <f>BE6/'biomass Atlantis newsimGB'!AT7</f>
        <v>1.3228279042895676E-2</v>
      </c>
      <c r="BF20" s="1">
        <f>BF6/'biomass Atlantis newsimGB'!AU7</f>
        <v>1.370333168265378E-2</v>
      </c>
      <c r="BG20" s="1">
        <f>BG6/'biomass Atlantis newsimGB'!AV7</f>
        <v>1.4378106743084559E-2</v>
      </c>
      <c r="BH20" s="1">
        <f>BH6/'biomass Atlantis newsimGB'!AW7</f>
        <v>1.4716826906831272E-2</v>
      </c>
      <c r="BI20" s="1">
        <f>BI6/'biomass Atlantis newsimGB'!AX7</f>
        <v>1.4039412617604498E-2</v>
      </c>
      <c r="BJ20" s="1">
        <f>BJ6/'biomass Atlantis newsimGB'!AY7</f>
        <v>1.3578980113024056E-2</v>
      </c>
      <c r="BK20" s="1">
        <f>BK6/'biomass Atlantis newsimGB'!AZ7</f>
        <v>1.3581756679119867E-2</v>
      </c>
      <c r="BL20" s="1">
        <f>BL6/'biomass Atlantis newsimGB'!BA7</f>
        <v>1.340181351836282E-2</v>
      </c>
      <c r="BM20" s="1">
        <f>BM6/'biomass Atlantis newsimGB'!BB7</f>
        <v>1.3421413397978624E-2</v>
      </c>
      <c r="BN20" s="1">
        <f>BN6/'biomass Atlantis newsimGB'!BC7</f>
        <v>1.3493199246171097E-2</v>
      </c>
      <c r="BO20" s="1">
        <f>BO6/'biomass Atlantis newsimGB'!BD7</f>
        <v>1.360221707523891E-2</v>
      </c>
      <c r="BP20" s="1">
        <f>BP6/'biomass Atlantis newsimGB'!BE7</f>
        <v>1.3664606265844996E-2</v>
      </c>
      <c r="BQ20" s="1">
        <f>BQ6/'biomass Atlantis newsimGB'!BF7</f>
        <v>1.3739478899015682E-2</v>
      </c>
      <c r="BR20" s="1">
        <f>BR6/'biomass Atlantis newsimGB'!BG7</f>
        <v>1.3455998440327925E-2</v>
      </c>
      <c r="BS20" s="1">
        <f>BS6/'biomass Atlantis newsimGB'!BH7</f>
        <v>1.3064464932504271E-2</v>
      </c>
      <c r="BT20" s="1">
        <f>BT6/'biomass Atlantis newsimGB'!BI7</f>
        <v>1.2629888867650594E-2</v>
      </c>
      <c r="BU20" s="1">
        <f>BU6/'biomass Atlantis newsimGB'!BJ7</f>
        <v>1.2245595432103492E-2</v>
      </c>
      <c r="BV20" s="1">
        <f>BV6/'biomass Atlantis newsimGB'!BK7</f>
        <v>1.1882653116220727E-2</v>
      </c>
      <c r="BW20" s="1">
        <f>BW6/'biomass Atlantis newsimGB'!BL7</f>
        <v>1.1814681476559334E-2</v>
      </c>
      <c r="BX20" s="1">
        <f>BX6/'biomass Atlantis newsimGB'!BM7</f>
        <v>1.1809770240026891E-2</v>
      </c>
      <c r="BY20" s="1">
        <f>BY6/'biomass Atlantis newsimGB'!BN7</f>
        <v>1.1674357492063914E-2</v>
      </c>
      <c r="BZ20" s="1">
        <f>BZ6/'biomass Atlantis newsimGB'!BO7</f>
        <v>1.1531029309363115E-2</v>
      </c>
      <c r="CA20" s="1">
        <f>CA6/'biomass Atlantis newsimGB'!BP7</f>
        <v>1.1322088786149653E-2</v>
      </c>
      <c r="CB20" s="1">
        <f>CB6/'biomass Atlantis newsimGB'!BQ7</f>
        <v>1.118340884480269E-2</v>
      </c>
      <c r="CC20" s="1">
        <f>CC6/'biomass Atlantis newsimGB'!BR7</f>
        <v>1.1273548377765548E-2</v>
      </c>
      <c r="CD20" s="1">
        <f>CD6/'biomass Atlantis newsimGB'!BS7</f>
        <v>1.1364087305312968E-2</v>
      </c>
      <c r="CE20" s="1">
        <f>CE6/'biomass Atlantis newsimGB'!BT7</f>
        <v>1.1284098219512482E-2</v>
      </c>
      <c r="CF20" s="1">
        <f>CF6/'biomass Atlantis newsimGB'!BU7</f>
        <v>1.1112573789798174E-2</v>
      </c>
      <c r="CG20" s="1">
        <f>CG6/'biomass Atlantis newsimGB'!BV7</f>
        <v>1.1089947183912452E-2</v>
      </c>
    </row>
    <row r="21" spans="1:85">
      <c r="A21" s="8">
        <v>1981</v>
      </c>
      <c r="B21">
        <v>1602.7156460000001</v>
      </c>
      <c r="C21">
        <v>8124.4332770000001</v>
      </c>
      <c r="D21">
        <v>8049.6815260000003</v>
      </c>
      <c r="E21">
        <v>23437.804093999999</v>
      </c>
      <c r="F21">
        <v>4948.7461640000001</v>
      </c>
      <c r="G21">
        <v>9559.6184470000007</v>
      </c>
      <c r="H21">
        <v>5876.4909779999998</v>
      </c>
      <c r="I21">
        <v>667.07339899999999</v>
      </c>
      <c r="J21">
        <v>19258.409498000001</v>
      </c>
      <c r="K21">
        <v>734.14847699999996</v>
      </c>
      <c r="M21">
        <f>B21*$N$1/'biomass Atlantis newsimGB'!M21</f>
        <v>2.2344836344059199E-3</v>
      </c>
      <c r="N21">
        <f>C21*$N$1/'biomass Atlantis newsimGB'!N21</f>
        <v>4.260662081480542E-4</v>
      </c>
      <c r="O21">
        <f>D21*$N$1/'biomass Atlantis newsimGB'!O21</f>
        <v>5.2649325937980437E-3</v>
      </c>
      <c r="P21">
        <f>E21*$N$1/'biomass Atlantis newsimGB'!P21</f>
        <v>1.2115972555981106E-2</v>
      </c>
      <c r="Q21">
        <f>F21*$N$1/'biomass Atlantis newsimGB'!Q21</f>
        <v>2.9354687772931336E-3</v>
      </c>
      <c r="R21">
        <f>G21*$N$1/'biomass Atlantis newsimGB'!R21</f>
        <v>7.1522394823163582E-3</v>
      </c>
      <c r="S21">
        <f>H21*$N$1/'biomass Atlantis newsimGB'!S21</f>
        <v>1.8247088485775175E-2</v>
      </c>
      <c r="T21">
        <f>I21*$N$1/'biomass Atlantis newsimGB'!T21</f>
        <v>7.3676672819555651E-4</v>
      </c>
      <c r="U21">
        <f>J21*$N$1/'biomass Atlantis newsimGB'!U21</f>
        <v>7.8536672836749723E-3</v>
      </c>
      <c r="V21">
        <f>K21*$N$1/'biomass Atlantis newsimGB'!V21</f>
        <v>8.2874471358776144E-4</v>
      </c>
      <c r="X21">
        <f t="shared" si="1"/>
        <v>1602.7156460000001</v>
      </c>
      <c r="Y21">
        <f t="shared" si="1"/>
        <v>8124.4332770000001</v>
      </c>
      <c r="Z21">
        <f t="shared" si="1"/>
        <v>8049.6815260000003</v>
      </c>
      <c r="AA21">
        <f t="shared" si="1"/>
        <v>23437.804093999999</v>
      </c>
      <c r="AB21">
        <f t="shared" si="1"/>
        <v>4948.7461640000001</v>
      </c>
      <c r="AC21">
        <f t="shared" si="1"/>
        <v>9559.6184470000007</v>
      </c>
      <c r="AD21">
        <f t="shared" si="1"/>
        <v>5876.4909779999998</v>
      </c>
      <c r="AE21">
        <f t="shared" si="1"/>
        <v>667.07339899999999</v>
      </c>
      <c r="AF21">
        <f t="shared" si="1"/>
        <v>19258.409498000001</v>
      </c>
      <c r="AG21">
        <f t="shared" si="1"/>
        <v>734.14847699999996</v>
      </c>
      <c r="AI21" s="1">
        <f>AI7/'biomass Atlantis newsimGB'!X8</f>
        <v>3.6690355965544666E-3</v>
      </c>
      <c r="AJ21" s="1">
        <f>AJ7/'biomass Atlantis newsimGB'!Y8</f>
        <v>6.7733249088581587E-3</v>
      </c>
      <c r="AK21" s="1">
        <f>AK7/'biomass Atlantis newsimGB'!Z8</f>
        <v>3.8553030321943835E-3</v>
      </c>
      <c r="AL21" s="1">
        <f>AL7/'biomass Atlantis newsimGB'!AA8</f>
        <v>2.9168151533543645E-3</v>
      </c>
      <c r="AM21" s="1">
        <f>AM7/'biomass Atlantis newsimGB'!AB8</f>
        <v>2.4798749394188717E-3</v>
      </c>
      <c r="AN21" s="1">
        <f>AN7/'biomass Atlantis newsimGB'!AC8</f>
        <v>2.2500687709707968E-3</v>
      </c>
      <c r="AO21" s="1">
        <f>AO7/'biomass Atlantis newsimGB'!AD8</f>
        <v>2.1329143987852011E-3</v>
      </c>
      <c r="AP21" s="1">
        <f>AP7/'biomass Atlantis newsimGB'!AE8</f>
        <v>2.0925893059103645E-3</v>
      </c>
      <c r="AQ21" s="1">
        <f>AQ7/'biomass Atlantis newsimGB'!AF8</f>
        <v>2.0720033524323821E-3</v>
      </c>
      <c r="AR21" s="1">
        <f>AR7/'biomass Atlantis newsimGB'!AG8</f>
        <v>2.0737764919918668E-3</v>
      </c>
      <c r="AS21" s="1">
        <f>AS7/'biomass Atlantis newsimGB'!AH8</f>
        <v>2.1112117591225023E-3</v>
      </c>
      <c r="AT21" s="1">
        <f>AT7/'biomass Atlantis newsimGB'!AI8</f>
        <v>2.1491995611003451E-3</v>
      </c>
      <c r="AU21" s="1">
        <f>AU7/'biomass Atlantis newsimGB'!AJ8</f>
        <v>2.3276347646331175E-3</v>
      </c>
      <c r="AV21" s="1">
        <f>AV7/'biomass Atlantis newsimGB'!AK8</f>
        <v>2.4337607802626623E-3</v>
      </c>
      <c r="AW21" s="1">
        <f>AW7/'biomass Atlantis newsimGB'!AL8</f>
        <v>2.5699434904834424E-3</v>
      </c>
      <c r="AX21" s="1">
        <f>AX7/'biomass Atlantis newsimGB'!AM8</f>
        <v>2.7743753362194246E-3</v>
      </c>
      <c r="AY21" s="1">
        <f>AY7/'biomass Atlantis newsimGB'!AN8</f>
        <v>2.8280136330421702E-3</v>
      </c>
      <c r="AZ21" s="1">
        <f>AZ7/'biomass Atlantis newsimGB'!AO8</f>
        <v>2.9354687772931336E-3</v>
      </c>
      <c r="BA21" s="1">
        <f>BA7/'biomass Atlantis newsimGB'!AP8</f>
        <v>3.1325505793520724E-3</v>
      </c>
      <c r="BB21" s="1">
        <f>BB7/'biomass Atlantis newsimGB'!AQ8</f>
        <v>3.3654496888760872E-3</v>
      </c>
      <c r="BC21" s="1">
        <f>BC7/'biomass Atlantis newsimGB'!AR8</f>
        <v>3.7041988452170579E-3</v>
      </c>
      <c r="BD21" s="1">
        <f>BD7/'biomass Atlantis newsimGB'!AS8</f>
        <v>3.6671841360533882E-3</v>
      </c>
      <c r="BE21" s="1">
        <f>BE7/'biomass Atlantis newsimGB'!AT8</f>
        <v>4.0521586949360004E-3</v>
      </c>
      <c r="BF21" s="1">
        <f>BF7/'biomass Atlantis newsimGB'!AU8</f>
        <v>4.0732913112039408E-3</v>
      </c>
      <c r="BG21" s="1">
        <f>BG7/'biomass Atlantis newsimGB'!AV8</f>
        <v>4.3999970290055706E-3</v>
      </c>
      <c r="BH21" s="1">
        <f>BH7/'biomass Atlantis newsimGB'!AW8</f>
        <v>4.6164389037508446E-3</v>
      </c>
      <c r="BI21" s="1">
        <f>BI7/'biomass Atlantis newsimGB'!AX8</f>
        <v>3.807354886968393E-3</v>
      </c>
      <c r="BJ21" s="1">
        <f>BJ7/'biomass Atlantis newsimGB'!AY8</f>
        <v>3.4727353805548379E-3</v>
      </c>
      <c r="BK21" s="1">
        <f>BK7/'biomass Atlantis newsimGB'!AZ8</f>
        <v>3.4695462601978242E-3</v>
      </c>
      <c r="BL21" s="1">
        <f>BL7/'biomass Atlantis newsimGB'!BA8</f>
        <v>3.6036242150465068E-3</v>
      </c>
      <c r="BM21" s="1">
        <f>BM7/'biomass Atlantis newsimGB'!BB8</f>
        <v>3.7876837346423491E-3</v>
      </c>
      <c r="BN21" s="1">
        <f>BN7/'biomass Atlantis newsimGB'!BC8</f>
        <v>3.6650275448103669E-3</v>
      </c>
      <c r="BO21" s="1">
        <f>BO7/'biomass Atlantis newsimGB'!BD8</f>
        <v>3.7242124079012598E-3</v>
      </c>
      <c r="BP21" s="1">
        <f>BP7/'biomass Atlantis newsimGB'!BE8</f>
        <v>3.5983546957242228E-3</v>
      </c>
      <c r="BQ21" s="1">
        <f>BQ7/'biomass Atlantis newsimGB'!BF8</f>
        <v>3.963147188911679E-3</v>
      </c>
      <c r="BR21" s="1">
        <f>BR7/'biomass Atlantis newsimGB'!BG8</f>
        <v>3.6966804234008534E-3</v>
      </c>
      <c r="BS21" s="1">
        <f>BS7/'biomass Atlantis newsimGB'!BH8</f>
        <v>3.6466225024691743E-3</v>
      </c>
      <c r="BT21" s="1">
        <f>BT7/'biomass Atlantis newsimGB'!BI8</f>
        <v>3.1762989606634131E-3</v>
      </c>
      <c r="BU21" s="1">
        <f>BU7/'biomass Atlantis newsimGB'!BJ8</f>
        <v>3.139798871355663E-3</v>
      </c>
      <c r="BV21" s="1">
        <f>BV7/'biomass Atlantis newsimGB'!BK8</f>
        <v>2.8724289043236171E-3</v>
      </c>
      <c r="BW21" s="1">
        <f>BW7/'biomass Atlantis newsimGB'!BL8</f>
        <v>2.8611990807379281E-3</v>
      </c>
      <c r="BX21" s="1">
        <f>BX7/'biomass Atlantis newsimGB'!BM8</f>
        <v>3.0507889445680883E-3</v>
      </c>
      <c r="BY21" s="1">
        <f>BY7/'biomass Atlantis newsimGB'!BN8</f>
        <v>2.9540954915160079E-3</v>
      </c>
      <c r="BZ21" s="1">
        <f>BZ7/'biomass Atlantis newsimGB'!BO8</f>
        <v>2.8881334936057736E-3</v>
      </c>
      <c r="CA21" s="1">
        <f>CA7/'biomass Atlantis newsimGB'!BP8</f>
        <v>2.8768865095197835E-3</v>
      </c>
      <c r="CB21" s="1">
        <f>CB7/'biomass Atlantis newsimGB'!BQ8</f>
        <v>2.8179670999375051E-3</v>
      </c>
      <c r="CC21" s="1">
        <f>CC7/'biomass Atlantis newsimGB'!BR8</f>
        <v>2.7503931626205861E-3</v>
      </c>
      <c r="CD21" s="1">
        <f>CD7/'biomass Atlantis newsimGB'!BS8</f>
        <v>3.0267025578549172E-3</v>
      </c>
      <c r="CE21" s="1">
        <f>CE7/'biomass Atlantis newsimGB'!BT8</f>
        <v>2.9795635620243135E-3</v>
      </c>
      <c r="CF21" s="1">
        <f>CF7/'biomass Atlantis newsimGB'!BU8</f>
        <v>2.7604569924814075E-3</v>
      </c>
      <c r="CG21" s="1">
        <f>CG7/'biomass Atlantis newsimGB'!BV8</f>
        <v>2.8849114103801517E-3</v>
      </c>
    </row>
    <row r="22" spans="1:85">
      <c r="A22" s="8">
        <v>1982</v>
      </c>
      <c r="B22">
        <v>1706.199087</v>
      </c>
      <c r="C22">
        <v>8341.2514360000005</v>
      </c>
      <c r="D22">
        <v>8463.8784520000008</v>
      </c>
      <c r="E22">
        <v>22278.484569</v>
      </c>
      <c r="F22">
        <v>4759.3331710000002</v>
      </c>
      <c r="G22">
        <v>9188.2845589999997</v>
      </c>
      <c r="H22">
        <v>5498.5131140000003</v>
      </c>
      <c r="I22">
        <v>553.00797899999998</v>
      </c>
      <c r="J22">
        <v>17496.244621999998</v>
      </c>
      <c r="K22">
        <v>560.06749000000002</v>
      </c>
      <c r="M22">
        <f>B22*$N$1/'biomass Atlantis newsimGB'!M22</f>
        <v>2.2907835181013294E-3</v>
      </c>
      <c r="N22">
        <f>C22*$N$1/'biomass Atlantis newsimGB'!N22</f>
        <v>4.548999718974798E-4</v>
      </c>
      <c r="O22">
        <f>D22*$N$1/'biomass Atlantis newsimGB'!O22</f>
        <v>5.0900164589348373E-3</v>
      </c>
      <c r="P22">
        <f>E22*$N$1/'biomass Atlantis newsimGB'!P22</f>
        <v>1.2310999261048559E-2</v>
      </c>
      <c r="Q22">
        <f>F22*$N$1/'biomass Atlantis newsimGB'!Q22</f>
        <v>3.1325505793520724E-3</v>
      </c>
      <c r="R22">
        <f>G22*$N$1/'biomass Atlantis newsimGB'!R22</f>
        <v>7.5302859184162036E-3</v>
      </c>
      <c r="S22">
        <f>H22*$N$1/'biomass Atlantis newsimGB'!S22</f>
        <v>1.812129070451584E-2</v>
      </c>
      <c r="T22">
        <f>I22*$N$1/'biomass Atlantis newsimGB'!T22</f>
        <v>5.0297073503759952E-4</v>
      </c>
      <c r="U22">
        <f>J22*$N$1/'biomass Atlantis newsimGB'!U22</f>
        <v>7.1604529741697712E-3</v>
      </c>
      <c r="V22">
        <f>K22*$N$1/'biomass Atlantis newsimGB'!V22</f>
        <v>6.4210655506059442E-4</v>
      </c>
      <c r="X22">
        <f t="shared" si="1"/>
        <v>1706.199087</v>
      </c>
      <c r="Y22">
        <f t="shared" si="1"/>
        <v>8341.2514360000005</v>
      </c>
      <c r="Z22">
        <f t="shared" si="1"/>
        <v>8463.8784520000008</v>
      </c>
      <c r="AA22">
        <f t="shared" si="1"/>
        <v>22278.484569</v>
      </c>
      <c r="AB22">
        <f t="shared" si="1"/>
        <v>4759.3331710000002</v>
      </c>
      <c r="AC22">
        <f t="shared" si="1"/>
        <v>9188.2845589999997</v>
      </c>
      <c r="AD22">
        <f t="shared" si="1"/>
        <v>5498.5131140000003</v>
      </c>
      <c r="AE22">
        <f t="shared" si="1"/>
        <v>553.00797899999998</v>
      </c>
      <c r="AF22">
        <f t="shared" si="1"/>
        <v>17496.244621999998</v>
      </c>
      <c r="AG22">
        <f t="shared" si="1"/>
        <v>560.06749000000002</v>
      </c>
      <c r="AI22" s="1">
        <f>AI8/'biomass Atlantis newsimGB'!X9</f>
        <v>3.3362924837119965E-3</v>
      </c>
      <c r="AJ22" s="1">
        <f>AJ8/'biomass Atlantis newsimGB'!Y9</f>
        <v>4.5936725281048576E-3</v>
      </c>
      <c r="AK22" s="1">
        <f>AK8/'biomass Atlantis newsimGB'!Z9</f>
        <v>3.1252452604500834E-3</v>
      </c>
      <c r="AL22" s="1">
        <f>AL8/'biomass Atlantis newsimGB'!AA9</f>
        <v>3.0435325149820031E-3</v>
      </c>
      <c r="AM22" s="1">
        <f>AM8/'biomass Atlantis newsimGB'!AB9</f>
        <v>3.0695494395131221E-3</v>
      </c>
      <c r="AN22" s="1">
        <f>AN8/'biomass Atlantis newsimGB'!AC9</f>
        <v>3.0838685920997512E-3</v>
      </c>
      <c r="AO22" s="1">
        <f>AO8/'biomass Atlantis newsimGB'!AD9</f>
        <v>3.249279178015214E-3</v>
      </c>
      <c r="AP22" s="1">
        <f>AP8/'biomass Atlantis newsimGB'!AE9</f>
        <v>3.4514838236130558E-3</v>
      </c>
      <c r="AQ22" s="1">
        <f>AQ8/'biomass Atlantis newsimGB'!AF9</f>
        <v>3.714951826338601E-3</v>
      </c>
      <c r="AR22" s="1">
        <f>AR8/'biomass Atlantis newsimGB'!AG9</f>
        <v>3.9640328503259712E-3</v>
      </c>
      <c r="AS22" s="1">
        <f>AS8/'biomass Atlantis newsimGB'!AH9</f>
        <v>4.3135858978851352E-3</v>
      </c>
      <c r="AT22" s="1">
        <f>AT8/'biomass Atlantis newsimGB'!AI9</f>
        <v>4.6102590079150161E-3</v>
      </c>
      <c r="AU22" s="1">
        <f>AU8/'biomass Atlantis newsimGB'!AJ9</f>
        <v>4.9075991246377727E-3</v>
      </c>
      <c r="AV22" s="1">
        <f>AV8/'biomass Atlantis newsimGB'!AK9</f>
        <v>5.1822518405060585E-3</v>
      </c>
      <c r="AW22" s="1">
        <f>AW8/'biomass Atlantis newsimGB'!AL9</f>
        <v>5.6529359266966851E-3</v>
      </c>
      <c r="AX22" s="1">
        <f>AX8/'biomass Atlantis newsimGB'!AM9</f>
        <v>6.2003029512041063E-3</v>
      </c>
      <c r="AY22" s="1">
        <f>AY8/'biomass Atlantis newsimGB'!AN9</f>
        <v>6.8214032140285165E-3</v>
      </c>
      <c r="AZ22" s="1">
        <f>AZ8/'biomass Atlantis newsimGB'!AO9</f>
        <v>7.1522394823163582E-3</v>
      </c>
      <c r="BA22" s="1">
        <f>BA8/'biomass Atlantis newsimGB'!AP9</f>
        <v>7.5302859184162036E-3</v>
      </c>
      <c r="BB22" s="1">
        <f>BB8/'biomass Atlantis newsimGB'!AQ9</f>
        <v>8.1718555215658725E-3</v>
      </c>
      <c r="BC22" s="1">
        <f>BC8/'biomass Atlantis newsimGB'!AR9</f>
        <v>8.6500216739799178E-3</v>
      </c>
      <c r="BD22" s="1">
        <f>BD8/'biomass Atlantis newsimGB'!AS9</f>
        <v>9.3275437914886739E-3</v>
      </c>
      <c r="BE22" s="1">
        <f>BE8/'biomass Atlantis newsimGB'!AT9</f>
        <v>9.5717336420930287E-3</v>
      </c>
      <c r="BF22" s="1">
        <f>BF8/'biomass Atlantis newsimGB'!AU9</f>
        <v>1.0177097457031556E-2</v>
      </c>
      <c r="BG22" s="1">
        <f>BG8/'biomass Atlantis newsimGB'!AV9</f>
        <v>1.0405068829109717E-2</v>
      </c>
      <c r="BH22" s="1">
        <f>BH8/'biomass Atlantis newsimGB'!AW9</f>
        <v>1.0595886150464829E-2</v>
      </c>
      <c r="BI22" s="1">
        <f>BI8/'biomass Atlantis newsimGB'!AX9</f>
        <v>8.3995742003208466E-3</v>
      </c>
      <c r="BJ22" s="1">
        <f>BJ8/'biomass Atlantis newsimGB'!AY9</f>
        <v>8.2086931235423721E-3</v>
      </c>
      <c r="BK22" s="1">
        <f>BK8/'biomass Atlantis newsimGB'!AZ9</f>
        <v>9.2968447265177803E-3</v>
      </c>
      <c r="BL22" s="1">
        <f>BL8/'biomass Atlantis newsimGB'!BA9</f>
        <v>9.6027611039503306E-3</v>
      </c>
      <c r="BM22" s="1">
        <f>BM8/'biomass Atlantis newsimGB'!BB9</f>
        <v>8.3851980730527687E-3</v>
      </c>
      <c r="BN22" s="1">
        <f>BN8/'biomass Atlantis newsimGB'!BC9</f>
        <v>8.5678727589366954E-3</v>
      </c>
      <c r="BO22" s="1">
        <f>BO8/'biomass Atlantis newsimGB'!BD9</f>
        <v>1.0059198628300035E-2</v>
      </c>
      <c r="BP22" s="1">
        <f>BP8/'biomass Atlantis newsimGB'!BE9</f>
        <v>9.2361461608706161E-3</v>
      </c>
      <c r="BQ22" s="1">
        <f>BQ8/'biomass Atlantis newsimGB'!BF9</f>
        <v>9.0116062417781827E-3</v>
      </c>
      <c r="BR22" s="1">
        <f>BR8/'biomass Atlantis newsimGB'!BG9</f>
        <v>9.1647181354224845E-3</v>
      </c>
      <c r="BS22" s="1">
        <f>BS8/'biomass Atlantis newsimGB'!BH9</f>
        <v>8.209916423897597E-3</v>
      </c>
      <c r="BT22" s="1">
        <f>BT8/'biomass Atlantis newsimGB'!BI9</f>
        <v>7.9630316097337416E-3</v>
      </c>
      <c r="BU22" s="1">
        <f>BU8/'biomass Atlantis newsimGB'!BJ9</f>
        <v>7.6478443040678273E-3</v>
      </c>
      <c r="BV22" s="1">
        <f>BV8/'biomass Atlantis newsimGB'!BK9</f>
        <v>7.528881029754012E-3</v>
      </c>
      <c r="BW22" s="1">
        <f>BW8/'biomass Atlantis newsimGB'!BL9</f>
        <v>8.2089726009471758E-3</v>
      </c>
      <c r="BX22" s="1">
        <f>BX8/'biomass Atlantis newsimGB'!BM9</f>
        <v>8.4847224725144964E-3</v>
      </c>
      <c r="BY22" s="1">
        <f>BY8/'biomass Atlantis newsimGB'!BN9</f>
        <v>8.2998654153640869E-3</v>
      </c>
      <c r="BZ22" s="1">
        <f>BZ8/'biomass Atlantis newsimGB'!BO9</f>
        <v>8.0376561550025219E-3</v>
      </c>
      <c r="CA22" s="1">
        <f>CA8/'biomass Atlantis newsimGB'!BP9</f>
        <v>7.923817409644162E-3</v>
      </c>
      <c r="CB22" s="1">
        <f>CB8/'biomass Atlantis newsimGB'!BQ9</f>
        <v>7.7570724236208947E-3</v>
      </c>
      <c r="CC22" s="1">
        <f>CC8/'biomass Atlantis newsimGB'!BR9</f>
        <v>7.6289378090486498E-3</v>
      </c>
      <c r="CD22" s="1">
        <f>CD8/'biomass Atlantis newsimGB'!BS9</f>
        <v>7.8418961382056198E-3</v>
      </c>
      <c r="CE22" s="1">
        <f>CE8/'biomass Atlantis newsimGB'!BT9</f>
        <v>7.7391801562610215E-3</v>
      </c>
      <c r="CF22" s="1">
        <f>CF8/'biomass Atlantis newsimGB'!BU9</f>
        <v>7.5077152292996772E-3</v>
      </c>
      <c r="CG22" s="1">
        <f>CG8/'biomass Atlantis newsimGB'!BV9</f>
        <v>7.7034857634918135E-3</v>
      </c>
    </row>
    <row r="23" spans="1:85">
      <c r="A23" s="8">
        <v>1983</v>
      </c>
      <c r="B23">
        <v>1799.8478769999999</v>
      </c>
      <c r="C23">
        <v>8465.6323090000005</v>
      </c>
      <c r="D23">
        <v>8581.1140969999997</v>
      </c>
      <c r="E23">
        <v>20894.028245000001</v>
      </c>
      <c r="F23">
        <v>4530.1182490000001</v>
      </c>
      <c r="G23">
        <v>8983.1307479999996</v>
      </c>
      <c r="H23">
        <v>5292.321175</v>
      </c>
      <c r="I23">
        <v>700.544535</v>
      </c>
      <c r="J23">
        <v>21005.601845000001</v>
      </c>
      <c r="K23">
        <v>651.18903299999999</v>
      </c>
      <c r="M23">
        <f>B23*$N$1/'biomass Atlantis newsimGB'!M23</f>
        <v>2.3457824573422967E-3</v>
      </c>
      <c r="N23">
        <f>C23*$N$1/'biomass Atlantis newsimGB'!N23</f>
        <v>4.9955772143993728E-4</v>
      </c>
      <c r="O23">
        <f>D23*$N$1/'biomass Atlantis newsimGB'!O23</f>
        <v>3.9564331605506367E-3</v>
      </c>
      <c r="P23">
        <f>E23*$N$1/'biomass Atlantis newsimGB'!P23</f>
        <v>1.241900910355731E-2</v>
      </c>
      <c r="Q23">
        <f>F23*$N$1/'biomass Atlantis newsimGB'!Q23</f>
        <v>3.3654496888760872E-3</v>
      </c>
      <c r="R23">
        <f>G23*$N$1/'biomass Atlantis newsimGB'!R23</f>
        <v>8.1718555215658725E-3</v>
      </c>
      <c r="S23">
        <f>H23*$N$1/'biomass Atlantis newsimGB'!S23</f>
        <v>1.7885639875259443E-2</v>
      </c>
      <c r="T23">
        <f>I23*$N$1/'biomass Atlantis newsimGB'!T23</f>
        <v>3.5550916292406281E-4</v>
      </c>
      <c r="U23">
        <f>J23*$N$1/'biomass Atlantis newsimGB'!U23</f>
        <v>8.8273667191965041E-3</v>
      </c>
      <c r="V23">
        <f>K23*$N$1/'biomass Atlantis newsimGB'!V23</f>
        <v>7.3997156084130002E-4</v>
      </c>
      <c r="X23">
        <f t="shared" si="1"/>
        <v>1799.8478769999999</v>
      </c>
      <c r="Y23">
        <f t="shared" si="1"/>
        <v>8465.6323090000005</v>
      </c>
      <c r="Z23">
        <f t="shared" si="1"/>
        <v>8581.1140969999997</v>
      </c>
      <c r="AA23">
        <f t="shared" si="1"/>
        <v>20894.028245000001</v>
      </c>
      <c r="AB23">
        <f t="shared" si="1"/>
        <v>4530.1182490000001</v>
      </c>
      <c r="AC23">
        <f t="shared" si="1"/>
        <v>8983.1307479999996</v>
      </c>
      <c r="AD23">
        <f t="shared" si="1"/>
        <v>5292.321175</v>
      </c>
      <c r="AE23">
        <f t="shared" si="1"/>
        <v>700.544535</v>
      </c>
      <c r="AF23">
        <f t="shared" si="1"/>
        <v>21005.601845000001</v>
      </c>
      <c r="AG23">
        <f t="shared" si="1"/>
        <v>651.18903299999999</v>
      </c>
      <c r="AI23" s="1">
        <f>AI9/'biomass Atlantis newsimGB'!X10</f>
        <v>1.8877226589120565E-2</v>
      </c>
      <c r="AJ23" s="1">
        <f>AJ9/'biomass Atlantis newsimGB'!Y10</f>
        <v>1.8097565375191922E-2</v>
      </c>
      <c r="AK23" s="1">
        <f>AK9/'biomass Atlantis newsimGB'!Z10</f>
        <v>1.3006866050924059E-2</v>
      </c>
      <c r="AL23" s="1">
        <f>AL9/'biomass Atlantis newsimGB'!AA10</f>
        <v>1.0690376249505548E-2</v>
      </c>
      <c r="AM23" s="1">
        <f>AM9/'biomass Atlantis newsimGB'!AB10</f>
        <v>9.9455605468388164E-3</v>
      </c>
      <c r="AN23" s="1">
        <f>AN9/'biomass Atlantis newsimGB'!AC10</f>
        <v>9.3597346783280549E-3</v>
      </c>
      <c r="AO23" s="1">
        <f>AO9/'biomass Atlantis newsimGB'!AD10</f>
        <v>9.7683351114916626E-3</v>
      </c>
      <c r="AP23" s="1">
        <f>AP9/'biomass Atlantis newsimGB'!AE10</f>
        <v>9.6014563942961074E-3</v>
      </c>
      <c r="AQ23" s="1">
        <f>AQ9/'biomass Atlantis newsimGB'!AF10</f>
        <v>1.0093430248857683E-2</v>
      </c>
      <c r="AR23" s="1">
        <f>AR9/'biomass Atlantis newsimGB'!AG10</f>
        <v>1.0461143666473355E-2</v>
      </c>
      <c r="AS23" s="1">
        <f>AS9/'biomass Atlantis newsimGB'!AH10</f>
        <v>1.0936882091433505E-2</v>
      </c>
      <c r="AT23" s="1">
        <f>AT9/'biomass Atlantis newsimGB'!AI10</f>
        <v>1.137622312502462E-2</v>
      </c>
      <c r="AU23" s="1">
        <f>AU9/'biomass Atlantis newsimGB'!AJ10</f>
        <v>1.2339735097720638E-2</v>
      </c>
      <c r="AV23" s="1">
        <f>AV9/'biomass Atlantis newsimGB'!AK10</f>
        <v>1.3292860893441028E-2</v>
      </c>
      <c r="AW23" s="1">
        <f>AW9/'biomass Atlantis newsimGB'!AL10</f>
        <v>1.4422865411509901E-2</v>
      </c>
      <c r="AX23" s="1">
        <f>AX9/'biomass Atlantis newsimGB'!AM10</f>
        <v>1.4929028717732483E-2</v>
      </c>
      <c r="AY23" s="1">
        <f>AY9/'biomass Atlantis newsimGB'!AN10</f>
        <v>1.5418589382108206E-2</v>
      </c>
      <c r="AZ23" s="1">
        <f>AZ9/'biomass Atlantis newsimGB'!AO10</f>
        <v>1.8247088485775175E-2</v>
      </c>
      <c r="BA23" s="1">
        <f>BA9/'biomass Atlantis newsimGB'!AP10</f>
        <v>1.812129070451584E-2</v>
      </c>
      <c r="BB23" s="1">
        <f>BB9/'biomass Atlantis newsimGB'!AQ10</f>
        <v>1.7885639875259443E-2</v>
      </c>
      <c r="BC23" s="1">
        <f>BC9/'biomass Atlantis newsimGB'!AR10</f>
        <v>1.9185515968576705E-2</v>
      </c>
      <c r="BD23" s="1">
        <f>BD9/'biomass Atlantis newsimGB'!AS10</f>
        <v>2.2572350296470294E-2</v>
      </c>
      <c r="BE23" s="1">
        <f>BE9/'biomass Atlantis newsimGB'!AT10</f>
        <v>2.2936438723212983E-2</v>
      </c>
      <c r="BF23" s="1">
        <f>BF9/'biomass Atlantis newsimGB'!AU10</f>
        <v>2.2893639590153621E-2</v>
      </c>
      <c r="BG23" s="1">
        <f>BG9/'biomass Atlantis newsimGB'!AV10</f>
        <v>2.4924773718542174E-2</v>
      </c>
      <c r="BH23" s="1">
        <f>BH9/'biomass Atlantis newsimGB'!AW10</f>
        <v>2.6896074520073962E-2</v>
      </c>
      <c r="BI23" s="1">
        <f>BI9/'biomass Atlantis newsimGB'!AX10</f>
        <v>2.2653579197914889E-2</v>
      </c>
      <c r="BJ23" s="1">
        <f>BJ9/'biomass Atlantis newsimGB'!AY10</f>
        <v>2.1939423835797254E-2</v>
      </c>
      <c r="BK23" s="1">
        <f>BK9/'biomass Atlantis newsimGB'!AZ10</f>
        <v>2.7470759393850741E-2</v>
      </c>
      <c r="BL23" s="1">
        <f>BL9/'biomass Atlantis newsimGB'!BA10</f>
        <v>2.493953345647516E-2</v>
      </c>
      <c r="BM23" s="1">
        <f>BM9/'biomass Atlantis newsimGB'!BB10</f>
        <v>2.5783812009621859E-2</v>
      </c>
      <c r="BN23" s="1">
        <f>BN9/'biomass Atlantis newsimGB'!BC10</f>
        <v>2.5168422336235986E-2</v>
      </c>
      <c r="BO23" s="1">
        <f>BO9/'biomass Atlantis newsimGB'!BD10</f>
        <v>2.6211640345252578E-2</v>
      </c>
      <c r="BP23" s="1">
        <f>BP9/'biomass Atlantis newsimGB'!BE10</f>
        <v>2.1975633655403986E-2</v>
      </c>
      <c r="BQ23" s="1">
        <f>BQ9/'biomass Atlantis newsimGB'!BF10</f>
        <v>2.6451384178311655E-2</v>
      </c>
      <c r="BR23" s="1">
        <f>BR9/'biomass Atlantis newsimGB'!BG10</f>
        <v>2.4504226765621969E-2</v>
      </c>
      <c r="BS23" s="1">
        <f>BS9/'biomass Atlantis newsimGB'!BH10</f>
        <v>2.5799335706489155E-2</v>
      </c>
      <c r="BT23" s="1">
        <f>BT9/'biomass Atlantis newsimGB'!BI10</f>
        <v>2.3894368819211725E-2</v>
      </c>
      <c r="BU23" s="1">
        <f>BU9/'biomass Atlantis newsimGB'!BJ10</f>
        <v>2.2233023103215226E-2</v>
      </c>
      <c r="BV23" s="1">
        <f>BV9/'biomass Atlantis newsimGB'!BK10</f>
        <v>2.1243761763506102E-2</v>
      </c>
      <c r="BW23" s="1">
        <f>BW9/'biomass Atlantis newsimGB'!BL10</f>
        <v>2.2124744404205168E-2</v>
      </c>
      <c r="BX23" s="1">
        <f>BX9/'biomass Atlantis newsimGB'!BM10</f>
        <v>1.893072785302588E-2</v>
      </c>
      <c r="BY23" s="1">
        <f>BY9/'biomass Atlantis newsimGB'!BN10</f>
        <v>2.1112045291152428E-2</v>
      </c>
      <c r="BZ23" s="1">
        <f>BZ9/'biomass Atlantis newsimGB'!BO10</f>
        <v>2.0381776013568373E-2</v>
      </c>
      <c r="CA23" s="1">
        <f>CA9/'biomass Atlantis newsimGB'!BP10</f>
        <v>1.9904496153895314E-2</v>
      </c>
      <c r="CB23" s="1">
        <f>CB9/'biomass Atlantis newsimGB'!BQ10</f>
        <v>2.059068746273901E-2</v>
      </c>
      <c r="CC23" s="1">
        <f>CC9/'biomass Atlantis newsimGB'!BR10</f>
        <v>1.9498188831673521E-2</v>
      </c>
      <c r="CD23" s="1">
        <f>CD9/'biomass Atlantis newsimGB'!BS10</f>
        <v>1.9852216611455972E-2</v>
      </c>
      <c r="CE23" s="1">
        <f>CE9/'biomass Atlantis newsimGB'!BT10</f>
        <v>1.9697289783920543E-2</v>
      </c>
      <c r="CF23" s="1">
        <f>CF9/'biomass Atlantis newsimGB'!BU10</f>
        <v>1.9389675050524049E-2</v>
      </c>
      <c r="CG23" s="1">
        <f>CG9/'biomass Atlantis newsimGB'!BV10</f>
        <v>1.8736597137980673E-2</v>
      </c>
    </row>
    <row r="24" spans="1:85">
      <c r="A24" s="8">
        <v>1984</v>
      </c>
      <c r="B24">
        <v>1881.877068</v>
      </c>
      <c r="C24">
        <v>8379.3062430000009</v>
      </c>
      <c r="D24">
        <v>10627.914202</v>
      </c>
      <c r="E24">
        <v>19797.547750000002</v>
      </c>
      <c r="F24">
        <v>4321.5343780000003</v>
      </c>
      <c r="G24">
        <v>8426.924454</v>
      </c>
      <c r="H24">
        <v>5318.595937</v>
      </c>
      <c r="I24">
        <v>1382.4815189999999</v>
      </c>
      <c r="J24">
        <v>21101.052236</v>
      </c>
      <c r="K24">
        <v>759.57268299999998</v>
      </c>
      <c r="M24">
        <f>B24*$N$1/'biomass Atlantis newsimGB'!M24</f>
        <v>2.3829338739917339E-3</v>
      </c>
      <c r="N24">
        <f>C24*$N$1/'biomass Atlantis newsimGB'!N24</f>
        <v>5.2092549177841865E-4</v>
      </c>
      <c r="O24">
        <f>D24*$N$1/'biomass Atlantis newsimGB'!O24</f>
        <v>4.9506820521414913E-3</v>
      </c>
      <c r="P24">
        <f>E24*$N$1/'biomass Atlantis newsimGB'!P24</f>
        <v>1.2645285140920035E-2</v>
      </c>
      <c r="Q24">
        <f>F24*$N$1/'biomass Atlantis newsimGB'!Q24</f>
        <v>3.7041988452170579E-3</v>
      </c>
      <c r="R24">
        <f>G24*$N$1/'biomass Atlantis newsimGB'!R24</f>
        <v>8.6500216739799178E-3</v>
      </c>
      <c r="S24">
        <f>H24*$N$1/'biomass Atlantis newsimGB'!S24</f>
        <v>1.9185515968576705E-2</v>
      </c>
      <c r="T24">
        <f>I24*$N$1/'biomass Atlantis newsimGB'!T24</f>
        <v>4.845136821587519E-4</v>
      </c>
      <c r="U24">
        <f>J24*$N$1/'biomass Atlantis newsimGB'!U24</f>
        <v>9.4319868030288134E-3</v>
      </c>
      <c r="V24">
        <f>K24*$N$1/'biomass Atlantis newsimGB'!V24</f>
        <v>8.721678018881573E-4</v>
      </c>
      <c r="X24">
        <f t="shared" si="1"/>
        <v>1881.877068</v>
      </c>
      <c r="Y24">
        <f t="shared" si="1"/>
        <v>8379.3062430000009</v>
      </c>
      <c r="Z24">
        <f t="shared" si="1"/>
        <v>10627.914202</v>
      </c>
      <c r="AA24">
        <f t="shared" si="1"/>
        <v>19797.547750000002</v>
      </c>
      <c r="AB24">
        <f t="shared" si="1"/>
        <v>4321.5343780000003</v>
      </c>
      <c r="AC24">
        <f t="shared" si="1"/>
        <v>8426.924454</v>
      </c>
      <c r="AD24">
        <f t="shared" si="1"/>
        <v>5318.595937</v>
      </c>
      <c r="AE24">
        <f t="shared" si="1"/>
        <v>1382.4815189999999</v>
      </c>
      <c r="AF24">
        <f t="shared" si="1"/>
        <v>21101.052236</v>
      </c>
      <c r="AG24">
        <f t="shared" si="1"/>
        <v>759.57268299999998</v>
      </c>
      <c r="AI24" s="1">
        <f>AI10/'biomass Atlantis newsimGB'!X11</f>
        <v>4.5287879455670255E-2</v>
      </c>
      <c r="AJ24" s="1">
        <f>AJ10/'biomass Atlantis newsimGB'!Y11</f>
        <v>3.6379050225096583E-2</v>
      </c>
      <c r="AK24" s="1">
        <f>AK10/'biomass Atlantis newsimGB'!Z11</f>
        <v>4.3878570929431454E-2</v>
      </c>
      <c r="AL24" s="1">
        <f>AL10/'biomass Atlantis newsimGB'!AA11</f>
        <v>3.9649938161427735E-2</v>
      </c>
      <c r="AM24" s="1">
        <f>AM10/'biomass Atlantis newsimGB'!AB11</f>
        <v>4.1095592639853573E-2</v>
      </c>
      <c r="AN24" s="1">
        <f>AN10/'biomass Atlantis newsimGB'!AC11</f>
        <v>5.6105992343824122E-2</v>
      </c>
      <c r="AO24" s="1">
        <f>AO10/'biomass Atlantis newsimGB'!AD11</f>
        <v>7.5796511567435346E-2</v>
      </c>
      <c r="AP24" s="1">
        <f>AP10/'biomass Atlantis newsimGB'!AE11</f>
        <v>7.0912416225381081E-2</v>
      </c>
      <c r="AQ24" s="1">
        <f>AQ10/'biomass Atlantis newsimGB'!AF11</f>
        <v>7.455776281835795E-2</v>
      </c>
      <c r="AR24" s="1">
        <f>AR10/'biomass Atlantis newsimGB'!AG11</f>
        <v>8.157557332353195E-2</v>
      </c>
      <c r="AS24" s="1">
        <f>AS10/'biomass Atlantis newsimGB'!AH11</f>
        <v>8.8241581755227533E-2</v>
      </c>
      <c r="AT24" s="1">
        <f>AT10/'biomass Atlantis newsimGB'!AI11</f>
        <v>0.14123040600387687</v>
      </c>
      <c r="AU24" s="1">
        <f>AU10/'biomass Atlantis newsimGB'!AJ11</f>
        <v>0.20292226639110597</v>
      </c>
      <c r="AV24" s="1">
        <f>AV10/'biomass Atlantis newsimGB'!AK11</f>
        <v>0.18983221553344184</v>
      </c>
      <c r="AW24" s="1">
        <f>AW10/'biomass Atlantis newsimGB'!AL11</f>
        <v>5.6941824695884338E-4</v>
      </c>
      <c r="AX24" s="1">
        <f>AX10/'biomass Atlantis newsimGB'!AM11</f>
        <v>4.2567730531554418E-4</v>
      </c>
      <c r="AY24" s="1">
        <f>AY10/'biomass Atlantis newsimGB'!AN11</f>
        <v>6.4538867705803344E-4</v>
      </c>
      <c r="AZ24" s="1">
        <f>AZ10/'biomass Atlantis newsimGB'!AO11</f>
        <v>7.3676672819555651E-4</v>
      </c>
      <c r="BA24" s="1">
        <f>BA10/'biomass Atlantis newsimGB'!AP11</f>
        <v>5.0297073503759952E-4</v>
      </c>
      <c r="BB24" s="1">
        <f>BB10/'biomass Atlantis newsimGB'!AQ11</f>
        <v>3.5550916292406281E-4</v>
      </c>
      <c r="BC24" s="1">
        <f>BC10/'biomass Atlantis newsimGB'!AR11</f>
        <v>4.845136821587519E-4</v>
      </c>
      <c r="BD24" s="1">
        <f>BD10/'biomass Atlantis newsimGB'!AS11</f>
        <v>7.5518626438361833E-4</v>
      </c>
      <c r="BE24" s="1">
        <f>BE10/'biomass Atlantis newsimGB'!AT11</f>
        <v>5.5518967818160288E-4</v>
      </c>
      <c r="BF24" s="1">
        <f>BF10/'biomass Atlantis newsimGB'!AU11</f>
        <v>1.2571432660675966E-3</v>
      </c>
      <c r="BG24" s="1">
        <f>BG10/'biomass Atlantis newsimGB'!AV11</f>
        <v>1.2190638384940446E-3</v>
      </c>
      <c r="BH24" s="1">
        <f>BH10/'biomass Atlantis newsimGB'!AW11</f>
        <v>1.4040095233291356E-3</v>
      </c>
      <c r="BI24" s="1">
        <f>BI10/'biomass Atlantis newsimGB'!AX11</f>
        <v>9.1436376961934564E-4</v>
      </c>
      <c r="BJ24" s="1">
        <f>BJ10/'biomass Atlantis newsimGB'!AY11</f>
        <v>1.414627083349343E-3</v>
      </c>
      <c r="BK24" s="1">
        <f>BK10/'biomass Atlantis newsimGB'!AZ11</f>
        <v>1.3303335928815604E-3</v>
      </c>
      <c r="BL24" s="1">
        <f>BL10/'biomass Atlantis newsimGB'!BA11</f>
        <v>7.9045454079262325E-4</v>
      </c>
      <c r="BM24" s="1">
        <f>BM10/'biomass Atlantis newsimGB'!BB11</f>
        <v>1.5863385155938591E-3</v>
      </c>
      <c r="BN24" s="1">
        <f>BN10/'biomass Atlantis newsimGB'!BC11</f>
        <v>1.4326155188398089E-3</v>
      </c>
      <c r="BO24" s="1">
        <f>BO10/'biomass Atlantis newsimGB'!BD11</f>
        <v>1.1968170602652216E-3</v>
      </c>
      <c r="BP24" s="1">
        <f>BP10/'biomass Atlantis newsimGB'!BE11</f>
        <v>1.5093156228176518E-3</v>
      </c>
      <c r="BQ24" s="1">
        <f>BQ10/'biomass Atlantis newsimGB'!BF11</f>
        <v>2.8764007718299202E-3</v>
      </c>
      <c r="BR24" s="1">
        <f>BR10/'biomass Atlantis newsimGB'!BG11</f>
        <v>1.6774179968429149E-3</v>
      </c>
      <c r="BS24" s="1">
        <f>BS10/'biomass Atlantis newsimGB'!BH11</f>
        <v>3.0006149045982158E-3</v>
      </c>
      <c r="BT24" s="1">
        <f>BT10/'biomass Atlantis newsimGB'!BI11</f>
        <v>2.7494521621639575E-3</v>
      </c>
      <c r="BU24" s="1">
        <f>BU10/'biomass Atlantis newsimGB'!BJ11</f>
        <v>4.8785211497223814E-3</v>
      </c>
      <c r="BV24" s="1">
        <f>BV10/'biomass Atlantis newsimGB'!BK11</f>
        <v>3.6337486161689895E-3</v>
      </c>
      <c r="BW24" s="1">
        <f>BW10/'biomass Atlantis newsimGB'!BL11</f>
        <v>6.5825416746149333E-3</v>
      </c>
      <c r="BX24" s="1">
        <f>BX10/'biomass Atlantis newsimGB'!BM11</f>
        <v>4.7052224432321274E-3</v>
      </c>
      <c r="BY24" s="1">
        <f>BY10/'biomass Atlantis newsimGB'!BN11</f>
        <v>5.6372265883260315E-3</v>
      </c>
      <c r="BZ24" s="1">
        <f>BZ10/'biomass Atlantis newsimGB'!BO11</f>
        <v>9.9463040544695795E-3</v>
      </c>
      <c r="CA24" s="1">
        <f>CA10/'biomass Atlantis newsimGB'!BP11</f>
        <v>6.3059507644168383E-3</v>
      </c>
      <c r="CB24" s="1">
        <f>CB10/'biomass Atlantis newsimGB'!BQ11</f>
        <v>5.9110869484010724E-3</v>
      </c>
      <c r="CC24" s="1">
        <f>CC10/'biomass Atlantis newsimGB'!BR11</f>
        <v>6.9132197748036596E-3</v>
      </c>
      <c r="CD24" s="1">
        <f>CD10/'biomass Atlantis newsimGB'!BS11</f>
        <v>6.3710580419820226E-3</v>
      </c>
      <c r="CE24" s="1">
        <f>CE10/'biomass Atlantis newsimGB'!BT11</f>
        <v>6.7112136921874364E-3</v>
      </c>
      <c r="CF24" s="1">
        <f>CF10/'biomass Atlantis newsimGB'!BU11</f>
        <v>6.1699661469174494E-3</v>
      </c>
      <c r="CG24" s="1">
        <f>CG10/'biomass Atlantis newsimGB'!BV11</f>
        <v>9.4654847557395869E-3</v>
      </c>
    </row>
    <row r="25" spans="1:85">
      <c r="A25" s="8">
        <v>1985</v>
      </c>
      <c r="B25">
        <v>1971.083124</v>
      </c>
      <c r="C25">
        <v>8412.4726429999992</v>
      </c>
      <c r="D25">
        <v>12251.238254</v>
      </c>
      <c r="E25">
        <v>18973.660459999999</v>
      </c>
      <c r="F25">
        <v>3741.3557340000002</v>
      </c>
      <c r="G25">
        <v>8063.3269419999997</v>
      </c>
      <c r="H25">
        <v>5492.2790150000001</v>
      </c>
      <c r="I25">
        <v>1845.2742900000001</v>
      </c>
      <c r="J25">
        <v>17690.864783000001</v>
      </c>
      <c r="K25">
        <v>780.58162600000003</v>
      </c>
      <c r="M25">
        <f>B25*$N$1/'biomass Atlantis newsimGB'!M25</f>
        <v>2.0114020045407179E-3</v>
      </c>
      <c r="N25">
        <f>C25*$N$1/'biomass Atlantis newsimGB'!N25</f>
        <v>5.4137309200093448E-4</v>
      </c>
      <c r="O25">
        <f>D25*$N$1/'biomass Atlantis newsimGB'!O25</f>
        <v>5.805560830644995E-3</v>
      </c>
      <c r="P25">
        <f>E25*$N$1/'biomass Atlantis newsimGB'!P25</f>
        <v>1.2883443875581334E-2</v>
      </c>
      <c r="Q25">
        <f>F25*$N$1/'biomass Atlantis newsimGB'!Q25</f>
        <v>3.6671841360533882E-3</v>
      </c>
      <c r="R25">
        <f>G25*$N$1/'biomass Atlantis newsimGB'!R25</f>
        <v>9.3275437914886739E-3</v>
      </c>
      <c r="S25">
        <f>H25*$N$1/'biomass Atlantis newsimGB'!S25</f>
        <v>2.2572350296470294E-2</v>
      </c>
      <c r="T25">
        <f>I25*$N$1/'biomass Atlantis newsimGB'!T25</f>
        <v>7.5518626438361833E-4</v>
      </c>
      <c r="U25">
        <f>J25*$N$1/'biomass Atlantis newsimGB'!U25</f>
        <v>8.4484200139924599E-3</v>
      </c>
      <c r="V25">
        <f>K25*$N$1/'biomass Atlantis newsimGB'!V25</f>
        <v>9.0198210321848569E-4</v>
      </c>
      <c r="X25">
        <f t="shared" si="1"/>
        <v>1971.083124</v>
      </c>
      <c r="Y25">
        <f t="shared" si="1"/>
        <v>8412.4726429999992</v>
      </c>
      <c r="Z25">
        <f t="shared" si="1"/>
        <v>12251.238254</v>
      </c>
      <c r="AA25">
        <f t="shared" si="1"/>
        <v>18973.660459999999</v>
      </c>
      <c r="AB25">
        <f t="shared" si="1"/>
        <v>3741.3557340000002</v>
      </c>
      <c r="AC25">
        <f t="shared" si="1"/>
        <v>8063.3269419999997</v>
      </c>
      <c r="AD25">
        <f t="shared" si="1"/>
        <v>5492.2790150000001</v>
      </c>
      <c r="AE25">
        <f t="shared" si="1"/>
        <v>1845.2742900000001</v>
      </c>
      <c r="AF25">
        <f t="shared" si="1"/>
        <v>17690.864783000001</v>
      </c>
      <c r="AG25">
        <f t="shared" si="1"/>
        <v>780.58162600000003</v>
      </c>
      <c r="AI25" s="1">
        <f>AI11/'biomass Atlantis newsimGB'!X12</f>
        <v>4.2118044498000006E-3</v>
      </c>
      <c r="AJ25" s="1">
        <f>AJ11/'biomass Atlantis newsimGB'!Y12</f>
        <v>3.795102197376369E-3</v>
      </c>
      <c r="AK25" s="1">
        <f>AK11/'biomass Atlantis newsimGB'!Z12</f>
        <v>3.7987665512357934E-3</v>
      </c>
      <c r="AL25" s="1">
        <f>AL11/'biomass Atlantis newsimGB'!AA12</f>
        <v>3.7566158468762415E-3</v>
      </c>
      <c r="AM25" s="1">
        <f>AM11/'biomass Atlantis newsimGB'!AB12</f>
        <v>3.8886114055832113E-3</v>
      </c>
      <c r="AN25" s="1">
        <f>AN11/'biomass Atlantis newsimGB'!AC12</f>
        <v>4.457298426996271E-3</v>
      </c>
      <c r="AO25" s="1">
        <f>AO11/'biomass Atlantis newsimGB'!AD12</f>
        <v>5.3931678945136445E-3</v>
      </c>
      <c r="AP25" s="1">
        <f>AP11/'biomass Atlantis newsimGB'!AE12</f>
        <v>5.4468259465274317E-3</v>
      </c>
      <c r="AQ25" s="1">
        <f>AQ11/'biomass Atlantis newsimGB'!AF12</f>
        <v>5.8095712840255873E-3</v>
      </c>
      <c r="AR25" s="1">
        <f>AR11/'biomass Atlantis newsimGB'!AG12</f>
        <v>6.6515318348346134E-3</v>
      </c>
      <c r="AS25" s="1">
        <f>AS11/'biomass Atlantis newsimGB'!AH12</f>
        <v>8.2660637345202213E-3</v>
      </c>
      <c r="AT25" s="1">
        <f>AT11/'biomass Atlantis newsimGB'!AI12</f>
        <v>1.0480971497570466E-2</v>
      </c>
      <c r="AU25" s="1">
        <f>AU11/'biomass Atlantis newsimGB'!AJ12</f>
        <v>1.1229109791361921E-2</v>
      </c>
      <c r="AV25" s="1">
        <f>AV11/'biomass Atlantis newsimGB'!AK12</f>
        <v>1.1755323112068212E-2</v>
      </c>
      <c r="AW25" s="1">
        <f>AW11/'biomass Atlantis newsimGB'!AL12</f>
        <v>1.0489091475989327E-2</v>
      </c>
      <c r="AX25" s="1">
        <f>AX11/'biomass Atlantis newsimGB'!AM12</f>
        <v>8.9278431160596736E-3</v>
      </c>
      <c r="AY25" s="1">
        <f>AY11/'biomass Atlantis newsimGB'!AN12</f>
        <v>8.2810320316648797E-3</v>
      </c>
      <c r="AZ25" s="1">
        <f>AZ11/'biomass Atlantis newsimGB'!AO12</f>
        <v>7.1350484051783021E-3</v>
      </c>
      <c r="BA25" s="1">
        <f>BA11/'biomass Atlantis newsimGB'!AP12</f>
        <v>8.5966804565666237E-3</v>
      </c>
      <c r="BB25" s="1">
        <f>BB11/'biomass Atlantis newsimGB'!AQ12</f>
        <v>8.8674786670028573E-3</v>
      </c>
      <c r="BC25" s="1">
        <f>BC11/'biomass Atlantis newsimGB'!AR12</f>
        <v>7.9076626748853466E-3</v>
      </c>
      <c r="BD25" s="1">
        <f>BD11/'biomass Atlantis newsimGB'!AS12</f>
        <v>7.6094438083367365E-3</v>
      </c>
      <c r="BE25" s="1">
        <f>BE11/'biomass Atlantis newsimGB'!AT12</f>
        <v>7.3650006163153417E-3</v>
      </c>
      <c r="BF25" s="1">
        <f>BF11/'biomass Atlantis newsimGB'!AU12</f>
        <v>7.6230011356175371E-3</v>
      </c>
      <c r="BG25" s="1">
        <f>BG11/'biomass Atlantis newsimGB'!AV12</f>
        <v>8.1929525281760861E-3</v>
      </c>
      <c r="BH25" s="1">
        <f>BH11/'biomass Atlantis newsimGB'!AW12</f>
        <v>8.5472838408809527E-3</v>
      </c>
      <c r="BI25" s="1">
        <f>BI11/'biomass Atlantis newsimGB'!AX12</f>
        <v>1.0170900400726102E-2</v>
      </c>
      <c r="BJ25" s="1">
        <f>BJ11/'biomass Atlantis newsimGB'!AY12</f>
        <v>1.1744404170562172E-2</v>
      </c>
      <c r="BK25" s="1">
        <f>BK11/'biomass Atlantis newsimGB'!AZ12</f>
        <v>1.2747539005664528E-2</v>
      </c>
      <c r="BL25" s="1">
        <f>BL11/'biomass Atlantis newsimGB'!BA12</f>
        <v>1.4029113990857793E-2</v>
      </c>
      <c r="BM25" s="1">
        <f>BM11/'biomass Atlantis newsimGB'!BB12</f>
        <v>1.1340595311199662E-2</v>
      </c>
      <c r="BN25" s="1">
        <f>BN11/'biomass Atlantis newsimGB'!BC12</f>
        <v>1.470317404958019E-2</v>
      </c>
      <c r="BO25" s="1">
        <f>BO11/'biomass Atlantis newsimGB'!BD12</f>
        <v>1.2943024640009794E-2</v>
      </c>
      <c r="BP25" s="1">
        <f>BP11/'biomass Atlantis newsimGB'!BE12</f>
        <v>1.0494272995488385E-2</v>
      </c>
      <c r="BQ25" s="1">
        <f>BQ11/'biomass Atlantis newsimGB'!BF12</f>
        <v>1.1465933224425649E-2</v>
      </c>
      <c r="BR25" s="1">
        <f>BR11/'biomass Atlantis newsimGB'!BG12</f>
        <v>1.0878392322787731E-2</v>
      </c>
      <c r="BS25" s="1">
        <f>BS11/'biomass Atlantis newsimGB'!BH12</f>
        <v>1.0319828543289191E-2</v>
      </c>
      <c r="BT25" s="1">
        <f>BT11/'biomass Atlantis newsimGB'!BI12</f>
        <v>1.065132893722035E-2</v>
      </c>
      <c r="BU25" s="1">
        <f>BU11/'biomass Atlantis newsimGB'!BJ12</f>
        <v>9.2886801419937541E-3</v>
      </c>
      <c r="BV25" s="1">
        <f>BV11/'biomass Atlantis newsimGB'!BK12</f>
        <v>8.690532787656571E-3</v>
      </c>
      <c r="BW25" s="1">
        <f>BW11/'biomass Atlantis newsimGB'!BL12</f>
        <v>8.58107342208125E-3</v>
      </c>
      <c r="BX25" s="1">
        <f>BX11/'biomass Atlantis newsimGB'!BM12</f>
        <v>9.0495604231813926E-3</v>
      </c>
      <c r="BY25" s="1">
        <f>BY11/'biomass Atlantis newsimGB'!BN12</f>
        <v>8.819384637442659E-3</v>
      </c>
      <c r="BZ25" s="1">
        <f>BZ11/'biomass Atlantis newsimGB'!BO12</f>
        <v>8.5444224789439655E-3</v>
      </c>
      <c r="CA25" s="1">
        <f>CA11/'biomass Atlantis newsimGB'!BP12</f>
        <v>8.4946352534698687E-3</v>
      </c>
      <c r="CB25" s="1">
        <f>CB11/'biomass Atlantis newsimGB'!BQ12</f>
        <v>8.0964486791510297E-3</v>
      </c>
      <c r="CC25" s="1">
        <f>CC11/'biomass Atlantis newsimGB'!BR12</f>
        <v>7.8653394871162335E-3</v>
      </c>
      <c r="CD25" s="1">
        <f>CD11/'biomass Atlantis newsimGB'!BS12</f>
        <v>7.435354233682431E-3</v>
      </c>
      <c r="CE25" s="1">
        <f>CE11/'biomass Atlantis newsimGB'!BT12</f>
        <v>7.1766063240291935E-3</v>
      </c>
      <c r="CF25" s="1">
        <f>CF11/'biomass Atlantis newsimGB'!BU12</f>
        <v>7.0116216633766739E-3</v>
      </c>
      <c r="CG25" s="1">
        <f>CG11/'biomass Atlantis newsimGB'!BV12</f>
        <v>1.8225556360848078E-4</v>
      </c>
    </row>
    <row r="26" spans="1:85">
      <c r="A26" s="8">
        <v>1986</v>
      </c>
      <c r="B26">
        <v>2335.8569819999998</v>
      </c>
      <c r="C26">
        <v>8625.7778060000001</v>
      </c>
      <c r="D26">
        <v>14365.99973</v>
      </c>
      <c r="E26">
        <v>18312.368382000001</v>
      </c>
      <c r="F26">
        <v>3465.5037470000002</v>
      </c>
      <c r="G26">
        <v>7193.9638660000001</v>
      </c>
      <c r="H26">
        <v>5301.6265860000003</v>
      </c>
      <c r="I26">
        <v>1915.5929610000001</v>
      </c>
      <c r="J26">
        <v>15934.061193</v>
      </c>
      <c r="K26">
        <v>756.09601899999996</v>
      </c>
      <c r="M26">
        <f>B26*$N$1/'biomass Atlantis newsimGB'!M26</f>
        <v>2.3702739206080937E-3</v>
      </c>
      <c r="N26">
        <f>C26*$N$1/'biomass Atlantis newsimGB'!N26</f>
        <v>6.0011478695463341E-4</v>
      </c>
      <c r="O26">
        <f>D26*$N$1/'biomass Atlantis newsimGB'!O26</f>
        <v>6.9504865457626084E-3</v>
      </c>
      <c r="P26">
        <f>E26*$N$1/'biomass Atlantis newsimGB'!P26</f>
        <v>1.3228279042895676E-2</v>
      </c>
      <c r="Q26">
        <f>F26*$N$1/'biomass Atlantis newsimGB'!Q26</f>
        <v>4.0521586949360004E-3</v>
      </c>
      <c r="R26">
        <f>G26*$N$1/'biomass Atlantis newsimGB'!R26</f>
        <v>9.5717336420930287E-3</v>
      </c>
      <c r="S26">
        <f>H26*$N$1/'biomass Atlantis newsimGB'!S26</f>
        <v>2.2936438723212983E-2</v>
      </c>
      <c r="T26">
        <f>I26*$N$1/'biomass Atlantis newsimGB'!T26</f>
        <v>5.5518967818160288E-4</v>
      </c>
      <c r="U26">
        <f>J26*$N$1/'biomass Atlantis newsimGB'!U26</f>
        <v>8.606841690680999E-3</v>
      </c>
      <c r="V26">
        <f>K26*$N$1/'biomass Atlantis newsimGB'!V26</f>
        <v>8.7413885597154082E-4</v>
      </c>
      <c r="X26">
        <f t="shared" si="1"/>
        <v>2335.8569819999998</v>
      </c>
      <c r="Y26">
        <f t="shared" si="1"/>
        <v>8625.7778060000001</v>
      </c>
      <c r="Z26">
        <f t="shared" si="1"/>
        <v>14365.99973</v>
      </c>
      <c r="AA26">
        <f t="shared" si="1"/>
        <v>18312.368382000001</v>
      </c>
      <c r="AB26">
        <f t="shared" si="1"/>
        <v>3465.5037470000002</v>
      </c>
      <c r="AC26">
        <f t="shared" si="1"/>
        <v>7193.9638660000001</v>
      </c>
      <c r="AD26">
        <f t="shared" si="1"/>
        <v>5301.6265860000003</v>
      </c>
      <c r="AE26">
        <f t="shared" si="1"/>
        <v>1915.5929610000001</v>
      </c>
      <c r="AF26">
        <f t="shared" si="1"/>
        <v>15934.061193</v>
      </c>
      <c r="AG26">
        <f t="shared" si="1"/>
        <v>756.09601899999996</v>
      </c>
      <c r="AI26" s="1">
        <f>AI12/'biomass Atlantis newsimGB'!X13</f>
        <v>9.417168000000001E-6</v>
      </c>
      <c r="AJ26" s="1">
        <f>AJ12/'biomass Atlantis newsimGB'!Y13</f>
        <v>6.0255913966394532E-6</v>
      </c>
      <c r="AK26" s="1">
        <f>AK12/'biomass Atlantis newsimGB'!Z13</f>
        <v>2.2720101031495899E-5</v>
      </c>
      <c r="AL26" s="1">
        <f>AL12/'biomass Atlantis newsimGB'!AA13</f>
        <v>4.4482606921636387E-5</v>
      </c>
      <c r="AM26" s="1">
        <f>AM12/'biomass Atlantis newsimGB'!AB13</f>
        <v>3.1263016295825524E-5</v>
      </c>
      <c r="AN26" s="1">
        <f>AN12/'biomass Atlantis newsimGB'!AC13</f>
        <v>2.912740196451241E-5</v>
      </c>
      <c r="AO26" s="1">
        <f>AO12/'biomass Atlantis newsimGB'!AD13</f>
        <v>2.5113751270347285E-5</v>
      </c>
      <c r="AP26" s="1">
        <f>AP12/'biomass Atlantis newsimGB'!AE13</f>
        <v>3.115499853889875E-5</v>
      </c>
      <c r="AQ26" s="1">
        <f>AQ12/'biomass Atlantis newsimGB'!AF13</f>
        <v>6.1388720523666775E-5</v>
      </c>
      <c r="AR26" s="1">
        <f>AR12/'biomass Atlantis newsimGB'!AG13</f>
        <v>1.5004458347503928E-4</v>
      </c>
      <c r="AS26" s="1">
        <f>AS12/'biomass Atlantis newsimGB'!AH13</f>
        <v>2.3668351408976895E-4</v>
      </c>
      <c r="AT26" s="1">
        <f>AT12/'biomass Atlantis newsimGB'!AI13</f>
        <v>4.2937272398054042E-4</v>
      </c>
      <c r="AU26" s="1">
        <f>AU12/'biomass Atlantis newsimGB'!AJ13</f>
        <v>5.7324787393294851E-4</v>
      </c>
      <c r="AV26" s="1">
        <f>AV12/'biomass Atlantis newsimGB'!AK13</f>
        <v>6.7534486470085576E-4</v>
      </c>
      <c r="AW26" s="1">
        <f>AW12/'biomass Atlantis newsimGB'!AL13</f>
        <v>7.647004334226683E-4</v>
      </c>
      <c r="AX26" s="1">
        <f>AX12/'biomass Atlantis newsimGB'!AM13</f>
        <v>8.6767448741363173E-4</v>
      </c>
      <c r="AY26" s="1">
        <f>AY12/'biomass Atlantis newsimGB'!AN13</f>
        <v>8.2972255914250711E-4</v>
      </c>
      <c r="AZ26" s="1">
        <f>AZ12/'biomass Atlantis newsimGB'!AO13</f>
        <v>6.3223310560632886E-4</v>
      </c>
      <c r="BA26" s="1">
        <f>BA12/'biomass Atlantis newsimGB'!AP13</f>
        <v>7.4657564336196285E-4</v>
      </c>
      <c r="BB26" s="1">
        <f>BB12/'biomass Atlantis newsimGB'!AQ13</f>
        <v>8.6313214032878837E-4</v>
      </c>
      <c r="BC26" s="1">
        <f>BC12/'biomass Atlantis newsimGB'!AR13</f>
        <v>8.9629100174302046E-4</v>
      </c>
      <c r="BD26" s="1">
        <f>BD12/'biomass Atlantis newsimGB'!AS13</f>
        <v>8.7368835588341666E-4</v>
      </c>
      <c r="BE26" s="1">
        <f>BE12/'biomass Atlantis newsimGB'!AT13</f>
        <v>8.8183170339471955E-4</v>
      </c>
      <c r="BF26" s="1">
        <f>BF12/'biomass Atlantis newsimGB'!AU13</f>
        <v>7.7783370788072313E-4</v>
      </c>
      <c r="BG26" s="1">
        <f>BG12/'biomass Atlantis newsimGB'!AV13</f>
        <v>7.4747145165389255E-4</v>
      </c>
      <c r="BH26" s="1">
        <f>BH12/'biomass Atlantis newsimGB'!AW13</f>
        <v>8.0605394444638507E-4</v>
      </c>
      <c r="BI26" s="1">
        <f>BI12/'biomass Atlantis newsimGB'!AX13</f>
        <v>8.3851804871130844E-4</v>
      </c>
      <c r="BJ26" s="1">
        <f>BJ12/'biomass Atlantis newsimGB'!AY13</f>
        <v>8.4638201995033654E-4</v>
      </c>
      <c r="BK26" s="1">
        <f>BK12/'biomass Atlantis newsimGB'!AZ13</f>
        <v>1.0338827798472105E-3</v>
      </c>
      <c r="BL26" s="1">
        <f>BL12/'biomass Atlantis newsimGB'!BA13</f>
        <v>1.1248370637439236E-3</v>
      </c>
      <c r="BM26" s="1">
        <f>BM12/'biomass Atlantis newsimGB'!BB13</f>
        <v>8.9229000331697084E-4</v>
      </c>
      <c r="BN26" s="1">
        <f>BN12/'biomass Atlantis newsimGB'!BC13</f>
        <v>1.4149331460461805E-3</v>
      </c>
      <c r="BO26" s="1">
        <f>BO12/'biomass Atlantis newsimGB'!BD13</f>
        <v>1.4141413474151477E-3</v>
      </c>
      <c r="BP26" s="1">
        <f>BP12/'biomass Atlantis newsimGB'!BE13</f>
        <v>1.3246489009994262E-3</v>
      </c>
      <c r="BQ26" s="1">
        <f>BQ12/'biomass Atlantis newsimGB'!BF13</f>
        <v>1.6669155138361272E-3</v>
      </c>
      <c r="BR26" s="1">
        <f>BR12/'biomass Atlantis newsimGB'!BG13</f>
        <v>1.8255174812908182E-3</v>
      </c>
      <c r="BS26" s="1">
        <f>BS12/'biomass Atlantis newsimGB'!BH13</f>
        <v>1.6471705060249347E-3</v>
      </c>
      <c r="BT26" s="1">
        <f>BT12/'biomass Atlantis newsimGB'!BI13</f>
        <v>1.5335394393250386E-3</v>
      </c>
      <c r="BU26" s="1">
        <f>BU12/'biomass Atlantis newsimGB'!BJ13</f>
        <v>1.3760778530091198E-3</v>
      </c>
      <c r="BV26" s="1">
        <f>BV12/'biomass Atlantis newsimGB'!BK13</f>
        <v>1.2051810421321854E-3</v>
      </c>
      <c r="BW26" s="1">
        <f>BW12/'biomass Atlantis newsimGB'!BL13</f>
        <v>1.1173955338346798E-3</v>
      </c>
      <c r="BX26" s="1">
        <f>BX12/'biomass Atlantis newsimGB'!BM13</f>
        <v>1.1955003135813947E-3</v>
      </c>
      <c r="BY26" s="1">
        <f>BY12/'biomass Atlantis newsimGB'!BN13</f>
        <v>1.3180707617294989E-3</v>
      </c>
      <c r="BZ26" s="1">
        <f>BZ12/'biomass Atlantis newsimGB'!BO13</f>
        <v>1.4242441630288503E-3</v>
      </c>
      <c r="CA26" s="1">
        <f>CA12/'biomass Atlantis newsimGB'!BP13</f>
        <v>1.4007183587644914E-3</v>
      </c>
      <c r="CB26" s="1">
        <f>CB12/'biomass Atlantis newsimGB'!BQ13</f>
        <v>1.3821887254871282E-3</v>
      </c>
      <c r="CC26" s="1">
        <f>CC12/'biomass Atlantis newsimGB'!BR13</f>
        <v>1.4458724887973459E-3</v>
      </c>
      <c r="CD26" s="1">
        <f>CD12/'biomass Atlantis newsimGB'!BS13</f>
        <v>1.4152251305272197E-3</v>
      </c>
      <c r="CE26" s="1">
        <f>CE12/'biomass Atlantis newsimGB'!BT13</f>
        <v>1.3976824955327489E-3</v>
      </c>
      <c r="CF26" s="1">
        <f>CF12/'biomass Atlantis newsimGB'!BU13</f>
        <v>1.5043696220445808E-3</v>
      </c>
      <c r="CG26" s="1">
        <f>CG12/'biomass Atlantis newsimGB'!BV13</f>
        <v>2.7344310544142835E-5</v>
      </c>
    </row>
    <row r="27" spans="1:85">
      <c r="A27" s="8">
        <v>1987</v>
      </c>
      <c r="B27">
        <v>2373.1878510000001</v>
      </c>
      <c r="C27">
        <v>8478.5393029999996</v>
      </c>
      <c r="D27">
        <v>16860.187545000001</v>
      </c>
      <c r="E27">
        <v>17872.821550000001</v>
      </c>
      <c r="F27">
        <v>2933.474909</v>
      </c>
      <c r="G27">
        <v>6760.694313</v>
      </c>
      <c r="H27">
        <v>5188.2552619999997</v>
      </c>
      <c r="I27">
        <v>3491.6489980000001</v>
      </c>
      <c r="J27">
        <v>13635.009765999999</v>
      </c>
      <c r="K27">
        <v>762.75003200000003</v>
      </c>
      <c r="M27">
        <f>B27*$N$1/'biomass Atlantis newsimGB'!M27</f>
        <v>2.3719653638849618E-3</v>
      </c>
      <c r="N27">
        <f>C27*$N$1/'biomass Atlantis newsimGB'!N27</f>
        <v>6.2391096011530799E-4</v>
      </c>
      <c r="O27">
        <f>D27*$N$1/'biomass Atlantis newsimGB'!O27</f>
        <v>8.4422405061303028E-3</v>
      </c>
      <c r="P27">
        <f>E27*$N$1/'biomass Atlantis newsimGB'!P27</f>
        <v>1.370333168265378E-2</v>
      </c>
      <c r="Q27">
        <f>F27*$N$1/'biomass Atlantis newsimGB'!Q27</f>
        <v>4.0732913112039408E-3</v>
      </c>
      <c r="R27">
        <f>G27*$N$1/'biomass Atlantis newsimGB'!R27</f>
        <v>1.0177097457031556E-2</v>
      </c>
      <c r="S27">
        <f>H27*$N$1/'biomass Atlantis newsimGB'!S27</f>
        <v>2.2893639590153621E-2</v>
      </c>
      <c r="T27">
        <f>I27*$N$1/'biomass Atlantis newsimGB'!T27</f>
        <v>1.2571432660675966E-3</v>
      </c>
      <c r="U27">
        <f>J27*$N$1/'biomass Atlantis newsimGB'!U27</f>
        <v>8.2891628565522936E-3</v>
      </c>
      <c r="V27">
        <f>K27*$N$1/'biomass Atlantis newsimGB'!V27</f>
        <v>8.799364484601257E-4</v>
      </c>
      <c r="X27">
        <f t="shared" si="1"/>
        <v>2373.1878510000001</v>
      </c>
      <c r="Y27">
        <f t="shared" si="1"/>
        <v>8478.5393029999996</v>
      </c>
      <c r="Z27">
        <f t="shared" si="1"/>
        <v>16860.187545000001</v>
      </c>
      <c r="AA27">
        <f t="shared" si="1"/>
        <v>17872.821550000001</v>
      </c>
      <c r="AB27">
        <f t="shared" si="1"/>
        <v>2933.474909</v>
      </c>
      <c r="AC27">
        <f t="shared" si="1"/>
        <v>6760.694313</v>
      </c>
      <c r="AD27">
        <f t="shared" si="1"/>
        <v>5188.2552619999997</v>
      </c>
      <c r="AE27">
        <f t="shared" si="1"/>
        <v>3491.6489980000001</v>
      </c>
      <c r="AF27">
        <f t="shared" si="1"/>
        <v>13635.009765999999</v>
      </c>
      <c r="AG27">
        <f t="shared" si="1"/>
        <v>762.75003200000003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8">
        <v>1988</v>
      </c>
      <c r="B28">
        <v>2373.6759299999999</v>
      </c>
      <c r="C28">
        <v>8545.4085250000007</v>
      </c>
      <c r="D28">
        <v>18093.351013</v>
      </c>
      <c r="E28">
        <v>17369.145651999999</v>
      </c>
      <c r="F28">
        <v>2562.8734890000001</v>
      </c>
      <c r="G28">
        <v>5993.3004170000004</v>
      </c>
      <c r="H28">
        <v>5240.1657349999996</v>
      </c>
      <c r="I28">
        <v>2926.0651509999998</v>
      </c>
      <c r="J28">
        <v>12539.227027999999</v>
      </c>
      <c r="K28">
        <v>674.24492599999996</v>
      </c>
      <c r="M28">
        <f>B28*$N$1/'biomass Atlantis newsimGB'!M28</f>
        <v>2.3184489828158936E-3</v>
      </c>
      <c r="N28">
        <f>C28*$N$1/'biomass Atlantis newsimGB'!N28</f>
        <v>6.6405089617240182E-4</v>
      </c>
      <c r="O28">
        <f>D28*$N$1/'biomass Atlantis newsimGB'!O28</f>
        <v>9.4288916767030113E-3</v>
      </c>
      <c r="P28">
        <f>E28*$N$1/'biomass Atlantis newsimGB'!P28</f>
        <v>1.4378106743084559E-2</v>
      </c>
      <c r="Q28">
        <f>F28*$N$1/'biomass Atlantis newsimGB'!Q28</f>
        <v>4.3999970290055706E-3</v>
      </c>
      <c r="R28">
        <f>G28*$N$1/'biomass Atlantis newsimGB'!R28</f>
        <v>1.0405068829109717E-2</v>
      </c>
      <c r="S28">
        <f>H28*$N$1/'biomass Atlantis newsimGB'!S28</f>
        <v>2.4924773718542174E-2</v>
      </c>
      <c r="T28">
        <f>I28*$N$1/'biomass Atlantis newsimGB'!T28</f>
        <v>1.2190638384940446E-3</v>
      </c>
      <c r="U28">
        <f>J28*$N$1/'biomass Atlantis newsimGB'!U28</f>
        <v>8.7452065976678008E-3</v>
      </c>
      <c r="V28">
        <f>K28*$N$1/'biomass Atlantis newsimGB'!V28</f>
        <v>7.914467073867154E-4</v>
      </c>
      <c r="X28">
        <f t="shared" si="1"/>
        <v>2373.6759299999999</v>
      </c>
      <c r="Y28">
        <f t="shared" si="1"/>
        <v>8545.4085250000007</v>
      </c>
      <c r="Z28">
        <f t="shared" si="1"/>
        <v>18093.351013</v>
      </c>
      <c r="AA28">
        <f t="shared" si="1"/>
        <v>17369.145651999999</v>
      </c>
      <c r="AB28">
        <f t="shared" si="1"/>
        <v>2562.8734890000001</v>
      </c>
      <c r="AC28">
        <f t="shared" si="1"/>
        <v>5993.3004170000004</v>
      </c>
      <c r="AD28">
        <f t="shared" si="1"/>
        <v>5240.1657349999996</v>
      </c>
      <c r="AE28">
        <f t="shared" si="1"/>
        <v>2926.0651509999998</v>
      </c>
      <c r="AF28">
        <f t="shared" si="1"/>
        <v>12539.227027999999</v>
      </c>
      <c r="AG28">
        <f t="shared" si="1"/>
        <v>674.24492599999996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8">
        <v>1989</v>
      </c>
      <c r="B29">
        <v>2501.811177</v>
      </c>
      <c r="C29">
        <v>8437.0610730000008</v>
      </c>
      <c r="D29">
        <v>19331.245338000001</v>
      </c>
      <c r="E29">
        <v>16454.368128999999</v>
      </c>
      <c r="F29">
        <v>2180.3635829999998</v>
      </c>
      <c r="G29">
        <v>5480.4958649999999</v>
      </c>
      <c r="H29">
        <v>5263.2779840000003</v>
      </c>
      <c r="I29">
        <v>2909.5315169999999</v>
      </c>
      <c r="J29">
        <v>11747.383053</v>
      </c>
      <c r="K29">
        <v>636.78176800000006</v>
      </c>
      <c r="M29">
        <f>B29*$N$1/'biomass Atlantis newsimGB'!M29</f>
        <v>2.3828647057913071E-3</v>
      </c>
      <c r="N29">
        <f>C29*$N$1/'biomass Atlantis newsimGB'!N29</f>
        <v>6.912721477265795E-4</v>
      </c>
      <c r="O29">
        <f>D29*$N$1/'biomass Atlantis newsimGB'!O29</f>
        <v>1.0479230347267885E-2</v>
      </c>
      <c r="P29">
        <f>E29*$N$1/'biomass Atlantis newsimGB'!P29</f>
        <v>1.4716826906831272E-2</v>
      </c>
      <c r="Q29">
        <f>F29*$N$1/'biomass Atlantis newsimGB'!Q29</f>
        <v>4.6164389037508446E-3</v>
      </c>
      <c r="R29">
        <f>G29*$N$1/'biomass Atlantis newsimGB'!R29</f>
        <v>1.0595886150464829E-2</v>
      </c>
      <c r="S29">
        <f>H29*$N$1/'biomass Atlantis newsimGB'!S29</f>
        <v>2.6896074520073962E-2</v>
      </c>
      <c r="T29">
        <f>I29*$N$1/'biomass Atlantis newsimGB'!T29</f>
        <v>1.4040095233291356E-3</v>
      </c>
      <c r="U29">
        <f>J29*$N$1/'biomass Atlantis newsimGB'!U29</f>
        <v>9.2931907688169699E-3</v>
      </c>
      <c r="V29">
        <f>K29*$N$1/'biomass Atlantis newsimGB'!V29</f>
        <v>7.5400236934977877E-4</v>
      </c>
      <c r="X29">
        <f t="shared" si="1"/>
        <v>2501.811177</v>
      </c>
      <c r="Y29">
        <f t="shared" si="1"/>
        <v>8437.0610730000008</v>
      </c>
      <c r="Z29">
        <f t="shared" si="1"/>
        <v>19331.245338000001</v>
      </c>
      <c r="AA29">
        <f t="shared" si="1"/>
        <v>16454.368128999999</v>
      </c>
      <c r="AB29">
        <f t="shared" si="1"/>
        <v>2180.3635829999998</v>
      </c>
      <c r="AC29">
        <f t="shared" si="1"/>
        <v>5480.4958649999999</v>
      </c>
      <c r="AD29">
        <f t="shared" si="1"/>
        <v>5263.2779840000003</v>
      </c>
      <c r="AE29">
        <f t="shared" si="1"/>
        <v>2909.5315169999999</v>
      </c>
      <c r="AF29">
        <f t="shared" si="1"/>
        <v>11747.383053</v>
      </c>
      <c r="AG29">
        <f t="shared" si="1"/>
        <v>636.78176800000006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8">
        <v>1990</v>
      </c>
      <c r="B30">
        <v>2536.6545809999998</v>
      </c>
      <c r="C30">
        <v>7837.0771910000003</v>
      </c>
      <c r="D30">
        <v>18014.584756</v>
      </c>
      <c r="E30">
        <v>14738.536195999999</v>
      </c>
      <c r="F30">
        <v>1637.657655</v>
      </c>
      <c r="G30">
        <v>4378.2270239999998</v>
      </c>
      <c r="H30">
        <v>4920.4470419999998</v>
      </c>
      <c r="I30">
        <v>2547.2506429999999</v>
      </c>
      <c r="J30">
        <v>10804.493294</v>
      </c>
      <c r="K30">
        <v>680.74117100000001</v>
      </c>
      <c r="M30">
        <f>B30*$N$1/'biomass Atlantis newsimGB'!M30</f>
        <v>2.3516077975356884E-3</v>
      </c>
      <c r="N30">
        <f>C30*$N$1/'biomass Atlantis newsimGB'!N30</f>
        <v>6.7613820993676454E-4</v>
      </c>
      <c r="O30">
        <f>D30*$N$1/'biomass Atlantis newsimGB'!O30</f>
        <v>1.0153209729999295E-2</v>
      </c>
      <c r="P30">
        <f>E30*$N$1/'biomass Atlantis newsimGB'!P30</f>
        <v>1.4039412617604498E-2</v>
      </c>
      <c r="Q30">
        <f>F30*$N$1/'biomass Atlantis newsimGB'!Q30</f>
        <v>3.807354886968393E-3</v>
      </c>
      <c r="R30">
        <f>G30*$N$1/'biomass Atlantis newsimGB'!R30</f>
        <v>8.3995742003208466E-3</v>
      </c>
      <c r="S30">
        <f>H30*$N$1/'biomass Atlantis newsimGB'!S30</f>
        <v>2.2653579197914889E-2</v>
      </c>
      <c r="T30">
        <f>I30*$N$1/'biomass Atlantis newsimGB'!T30</f>
        <v>9.1436376961934564E-4</v>
      </c>
      <c r="U30">
        <f>J30*$N$1/'biomass Atlantis newsimGB'!U30</f>
        <v>9.2513728242627664E-3</v>
      </c>
      <c r="V30">
        <f>K30*$N$1/'biomass Atlantis newsimGB'!V30</f>
        <v>8.2513731275079443E-4</v>
      </c>
      <c r="X30">
        <f t="shared" si="1"/>
        <v>2536.6545809999998</v>
      </c>
      <c r="Y30">
        <f t="shared" si="1"/>
        <v>7837.0771910000003</v>
      </c>
      <c r="Z30">
        <f t="shared" si="1"/>
        <v>18014.584756</v>
      </c>
      <c r="AA30">
        <f t="shared" si="1"/>
        <v>14738.536195999999</v>
      </c>
      <c r="AB30">
        <f t="shared" si="1"/>
        <v>1637.657655</v>
      </c>
      <c r="AC30">
        <f t="shared" si="1"/>
        <v>4378.2270239999998</v>
      </c>
      <c r="AD30">
        <f t="shared" si="1"/>
        <v>4920.4470419999998</v>
      </c>
      <c r="AE30">
        <f t="shared" si="1"/>
        <v>2547.2506429999999</v>
      </c>
      <c r="AF30">
        <f t="shared" si="1"/>
        <v>10804.493294</v>
      </c>
      <c r="AG30">
        <f t="shared" si="1"/>
        <v>680.74117100000001</v>
      </c>
      <c r="AI30" s="1" t="s">
        <v>249</v>
      </c>
      <c r="AJ30" s="1"/>
      <c r="AK30" s="1" t="s">
        <v>250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>
      <c r="A31" s="8">
        <v>1991</v>
      </c>
      <c r="B31">
        <v>2700.2658719999999</v>
      </c>
      <c r="C31">
        <v>7460.6613010000001</v>
      </c>
      <c r="D31">
        <v>17904.841832999999</v>
      </c>
      <c r="E31">
        <v>13876.081139</v>
      </c>
      <c r="F31">
        <v>1427.834374</v>
      </c>
      <c r="G31">
        <v>4439.0542489999998</v>
      </c>
      <c r="H31">
        <v>4967.6991330000001</v>
      </c>
      <c r="I31">
        <v>3457.5165280000001</v>
      </c>
      <c r="J31">
        <v>11878.391159999999</v>
      </c>
      <c r="K31">
        <v>691.78032499999995</v>
      </c>
      <c r="M31">
        <f>B31*$N$1/'biomass Atlantis newsimGB'!M31</f>
        <v>2.2046894285189518E-3</v>
      </c>
      <c r="N31">
        <f>C31*$N$1/'biomass Atlantis newsimGB'!N31</f>
        <v>6.7239041086475631E-4</v>
      </c>
      <c r="O31">
        <f>D31*$N$1/'biomass Atlantis newsimGB'!O31</f>
        <v>9.6546150363939678E-3</v>
      </c>
      <c r="P31">
        <f>E31*$N$1/'biomass Atlantis newsimGB'!P31</f>
        <v>1.3578980113024056E-2</v>
      </c>
      <c r="Q31">
        <f>F31*$N$1/'biomass Atlantis newsimGB'!Q31</f>
        <v>3.4727353805548379E-3</v>
      </c>
      <c r="R31">
        <f>G31*$N$1/'biomass Atlantis newsimGB'!R31</f>
        <v>8.2086931235423721E-3</v>
      </c>
      <c r="S31">
        <f>H31*$N$1/'biomass Atlantis newsimGB'!S31</f>
        <v>2.1939423835797254E-2</v>
      </c>
      <c r="T31">
        <f>I31*$N$1/'biomass Atlantis newsimGB'!T31</f>
        <v>1.414627083349343E-3</v>
      </c>
      <c r="U31">
        <f>J31*$N$1/'biomass Atlantis newsimGB'!U31</f>
        <v>1.0729817812284053E-2</v>
      </c>
      <c r="V31">
        <f>K31*$N$1/'biomass Atlantis newsimGB'!V31</f>
        <v>8.3918583436344151E-4</v>
      </c>
      <c r="X31">
        <f t="shared" si="1"/>
        <v>2700.2658719999999</v>
      </c>
      <c r="Y31">
        <f t="shared" si="1"/>
        <v>7460.6613010000001</v>
      </c>
      <c r="Z31">
        <f t="shared" si="1"/>
        <v>17904.841832999999</v>
      </c>
      <c r="AA31">
        <f t="shared" si="1"/>
        <v>13876.081139</v>
      </c>
      <c r="AB31">
        <f t="shared" si="1"/>
        <v>1427.834374</v>
      </c>
      <c r="AC31">
        <f t="shared" si="1"/>
        <v>4439.0542489999998</v>
      </c>
      <c r="AD31">
        <f t="shared" si="1"/>
        <v>4967.6991330000001</v>
      </c>
      <c r="AE31">
        <f t="shared" si="1"/>
        <v>3457.5165280000001</v>
      </c>
      <c r="AF31">
        <f t="shared" si="1"/>
        <v>11878.391159999999</v>
      </c>
      <c r="AG31">
        <f t="shared" si="1"/>
        <v>691.78032499999995</v>
      </c>
      <c r="AI31" s="1">
        <f>AVERAGE(AI17:CG17)</f>
        <v>2.2670913777286545E-3</v>
      </c>
      <c r="AJ31" s="1"/>
      <c r="AK31" s="1">
        <f>LOG10(AI31)</f>
        <v>-2.6445309747814929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8">
        <v>1992</v>
      </c>
      <c r="B32">
        <v>2944.7882020000002</v>
      </c>
      <c r="C32">
        <v>7225.8901610000003</v>
      </c>
      <c r="D32">
        <v>19099.884396000001</v>
      </c>
      <c r="E32">
        <v>13529.970208000001</v>
      </c>
      <c r="F32">
        <v>1350.7910039999999</v>
      </c>
      <c r="G32">
        <v>4926.9336780000003</v>
      </c>
      <c r="H32">
        <v>5380.3823069999999</v>
      </c>
      <c r="I32">
        <v>2681.5998519999998</v>
      </c>
      <c r="J32">
        <v>13001.583914999999</v>
      </c>
      <c r="K32">
        <v>697.71247900000003</v>
      </c>
      <c r="M32">
        <f>B32*$N$1/'biomass Atlantis newsimGB'!M32</f>
        <v>2.4508627921200829E-3</v>
      </c>
      <c r="N32">
        <f>C32*$N$1/'biomass Atlantis newsimGB'!N32</f>
        <v>6.7845642908238445E-4</v>
      </c>
      <c r="O32">
        <f>D32*$N$1/'biomass Atlantis newsimGB'!O32</f>
        <v>1.0787492890859229E-2</v>
      </c>
      <c r="P32">
        <f>E32*$N$1/'biomass Atlantis newsimGB'!P32</f>
        <v>1.3581756679119867E-2</v>
      </c>
      <c r="Q32">
        <f>F32*$N$1/'biomass Atlantis newsimGB'!Q32</f>
        <v>3.4695462601978242E-3</v>
      </c>
      <c r="R32">
        <f>G32*$N$1/'biomass Atlantis newsimGB'!R32</f>
        <v>9.2968447265177803E-3</v>
      </c>
      <c r="S32">
        <f>H32*$N$1/'biomass Atlantis newsimGB'!S32</f>
        <v>2.7470759393850741E-2</v>
      </c>
      <c r="T32">
        <f>I32*$N$1/'biomass Atlantis newsimGB'!T32</f>
        <v>1.3303335928815604E-3</v>
      </c>
      <c r="U32">
        <f>J32*$N$1/'biomass Atlantis newsimGB'!U32</f>
        <v>1.2173197804409905E-2</v>
      </c>
      <c r="V32">
        <f>K32*$N$1/'biomass Atlantis newsimGB'!V32</f>
        <v>8.503073628817068E-4</v>
      </c>
      <c r="X32">
        <f t="shared" si="1"/>
        <v>2944.7882020000002</v>
      </c>
      <c r="Y32">
        <f t="shared" si="1"/>
        <v>7225.8901610000003</v>
      </c>
      <c r="Z32">
        <f t="shared" si="1"/>
        <v>19099.884396000001</v>
      </c>
      <c r="AA32">
        <f t="shared" si="1"/>
        <v>13529.970208000001</v>
      </c>
      <c r="AB32">
        <f t="shared" si="1"/>
        <v>1350.7910039999999</v>
      </c>
      <c r="AC32">
        <f t="shared" si="1"/>
        <v>4926.9336780000003</v>
      </c>
      <c r="AD32">
        <f t="shared" si="1"/>
        <v>5380.3823069999999</v>
      </c>
      <c r="AE32">
        <f t="shared" si="1"/>
        <v>2681.5998519999998</v>
      </c>
      <c r="AF32">
        <f t="shared" si="1"/>
        <v>13001.583914999999</v>
      </c>
      <c r="AG32">
        <f t="shared" si="1"/>
        <v>697.71247900000003</v>
      </c>
      <c r="AI32" s="1">
        <f t="shared" ref="AI32:AI40" si="2">AVERAGE(AI18:CG18)</f>
        <v>4.816397276516649E-4</v>
      </c>
      <c r="AK32" s="1">
        <f t="shared" ref="AK32:AK40" si="3">LOG10(AI32)</f>
        <v>-3.3172776978542453</v>
      </c>
    </row>
    <row r="33" spans="1:85">
      <c r="A33" s="8">
        <v>1993</v>
      </c>
      <c r="B33">
        <v>2932.593331</v>
      </c>
      <c r="C33">
        <v>7001.0642749999997</v>
      </c>
      <c r="D33">
        <v>17161.454621000001</v>
      </c>
      <c r="E33">
        <v>12987.846363000001</v>
      </c>
      <c r="F33">
        <v>1333.4906570000001</v>
      </c>
      <c r="G33">
        <v>4870.8299219999999</v>
      </c>
      <c r="H33">
        <v>5072.7007119999998</v>
      </c>
      <c r="I33">
        <v>2203.6989279999998</v>
      </c>
      <c r="J33">
        <v>13615.009034999999</v>
      </c>
      <c r="K33">
        <v>848.34372699999994</v>
      </c>
      <c r="M33">
        <f>B33*$N$1/'biomass Atlantis newsimGB'!M33</f>
        <v>2.4690923879964093E-3</v>
      </c>
      <c r="N33">
        <f>C33*$N$1/'biomass Atlantis newsimGB'!N33</f>
        <v>6.844951119717083E-4</v>
      </c>
      <c r="O33">
        <f>D33*$N$1/'biomass Atlantis newsimGB'!O33</f>
        <v>1.0068672081646933E-2</v>
      </c>
      <c r="P33">
        <f>E33*$N$1/'biomass Atlantis newsimGB'!P33</f>
        <v>1.340181351836282E-2</v>
      </c>
      <c r="Q33">
        <f>F33*$N$1/'biomass Atlantis newsimGB'!Q33</f>
        <v>3.6036242150465068E-3</v>
      </c>
      <c r="R33">
        <f>G33*$N$1/'biomass Atlantis newsimGB'!R33</f>
        <v>9.6027611039503306E-3</v>
      </c>
      <c r="S33">
        <f>H33*$N$1/'biomass Atlantis newsimGB'!S33</f>
        <v>2.493953345647516E-2</v>
      </c>
      <c r="T33">
        <f>I33*$N$1/'biomass Atlantis newsimGB'!T33</f>
        <v>7.9045454079262325E-4</v>
      </c>
      <c r="U33">
        <f>J33*$N$1/'biomass Atlantis newsimGB'!U33</f>
        <v>1.3143740229086116E-2</v>
      </c>
      <c r="V33">
        <f>K33*$N$1/'biomass Atlantis newsimGB'!V33</f>
        <v>1.035249163929595E-3</v>
      </c>
      <c r="X33">
        <f t="shared" si="1"/>
        <v>2932.593331</v>
      </c>
      <c r="Y33">
        <f t="shared" si="1"/>
        <v>7001.0642749999997</v>
      </c>
      <c r="Z33">
        <f t="shared" si="1"/>
        <v>17161.454621000001</v>
      </c>
      <c r="AA33">
        <f t="shared" si="1"/>
        <v>12987.846363000001</v>
      </c>
      <c r="AB33">
        <f t="shared" si="1"/>
        <v>1333.4906570000001</v>
      </c>
      <c r="AC33">
        <f t="shared" si="1"/>
        <v>4870.8299219999999</v>
      </c>
      <c r="AD33">
        <f t="shared" si="1"/>
        <v>5072.7007119999998</v>
      </c>
      <c r="AE33">
        <f t="shared" si="1"/>
        <v>2203.6989279999998</v>
      </c>
      <c r="AF33">
        <f t="shared" si="1"/>
        <v>13615.009034999999</v>
      </c>
      <c r="AG33">
        <f t="shared" si="1"/>
        <v>848.34372699999994</v>
      </c>
      <c r="AI33" s="1">
        <f t="shared" si="2"/>
        <v>6.4924371745130743E-2</v>
      </c>
      <c r="AK33" s="1">
        <f t="shared" si="3"/>
        <v>-1.1875922442237745</v>
      </c>
    </row>
    <row r="34" spans="1:85">
      <c r="A34" s="8">
        <v>1994</v>
      </c>
      <c r="B34">
        <v>2795.1586630000002</v>
      </c>
      <c r="C34">
        <v>6764.8844719999997</v>
      </c>
      <c r="D34">
        <v>18268.061857000001</v>
      </c>
      <c r="E34">
        <v>12940.880415</v>
      </c>
      <c r="F34">
        <v>1298.077726</v>
      </c>
      <c r="G34">
        <v>4245.6187879999998</v>
      </c>
      <c r="H34">
        <v>5135.337982</v>
      </c>
      <c r="I34">
        <v>3332.79702</v>
      </c>
      <c r="J34">
        <v>14532.127872999999</v>
      </c>
      <c r="K34">
        <v>921.757293</v>
      </c>
      <c r="M34">
        <f>B34*$N$1/'biomass Atlantis newsimGB'!M34</f>
        <v>2.3822321536582191E-3</v>
      </c>
      <c r="N34">
        <f>C34*$N$1/'biomass Atlantis newsimGB'!N34</f>
        <v>6.8232569086301112E-4</v>
      </c>
      <c r="O34">
        <f>D34*$N$1/'biomass Atlantis newsimGB'!O34</f>
        <v>8.2954765787864853E-3</v>
      </c>
      <c r="P34">
        <f>E34*$N$1/'biomass Atlantis newsimGB'!P34</f>
        <v>1.3421413397978624E-2</v>
      </c>
      <c r="Q34">
        <f>F34*$N$1/'biomass Atlantis newsimGB'!Q34</f>
        <v>3.7876837346423491E-3</v>
      </c>
      <c r="R34">
        <f>G34*$N$1/'biomass Atlantis newsimGB'!R34</f>
        <v>8.3851980730527687E-3</v>
      </c>
      <c r="S34">
        <f>H34*$N$1/'biomass Atlantis newsimGB'!S34</f>
        <v>2.5783812009621859E-2</v>
      </c>
      <c r="T34">
        <f>I34*$N$1/'biomass Atlantis newsimGB'!T34</f>
        <v>1.5863385155938591E-3</v>
      </c>
      <c r="U34">
        <f>J34*$N$1/'biomass Atlantis newsimGB'!U34</f>
        <v>1.4228073933050705E-2</v>
      </c>
      <c r="V34">
        <f>K34*$N$1/'biomass Atlantis newsimGB'!V34</f>
        <v>1.1387121295508746E-3</v>
      </c>
      <c r="X34">
        <f t="shared" si="1"/>
        <v>2795.1586630000002</v>
      </c>
      <c r="Y34">
        <f t="shared" si="1"/>
        <v>6764.8844719999997</v>
      </c>
      <c r="Z34">
        <f t="shared" si="1"/>
        <v>18268.061857000001</v>
      </c>
      <c r="AA34">
        <f t="shared" si="1"/>
        <v>12940.880415</v>
      </c>
      <c r="AB34">
        <f t="shared" si="1"/>
        <v>1298.077726</v>
      </c>
      <c r="AC34">
        <f t="shared" si="1"/>
        <v>4245.6187879999998</v>
      </c>
      <c r="AD34">
        <f t="shared" si="1"/>
        <v>5135.337982</v>
      </c>
      <c r="AE34">
        <f t="shared" si="1"/>
        <v>3332.79702</v>
      </c>
      <c r="AF34">
        <f t="shared" si="1"/>
        <v>14532.127872999999</v>
      </c>
      <c r="AG34">
        <f t="shared" si="1"/>
        <v>921.757293</v>
      </c>
      <c r="AI34" s="1">
        <f t="shared" si="2"/>
        <v>1.0984059792123775E-2</v>
      </c>
      <c r="AK34" s="1">
        <f t="shared" si="3"/>
        <v>-1.9592371116672647</v>
      </c>
    </row>
    <row r="35" spans="1:85">
      <c r="A35" s="8">
        <v>1995</v>
      </c>
      <c r="B35">
        <v>2789.8493119999998</v>
      </c>
      <c r="C35">
        <v>6620.3073439999998</v>
      </c>
      <c r="D35">
        <v>25190.581236999999</v>
      </c>
      <c r="E35">
        <v>12840.583185</v>
      </c>
      <c r="F35">
        <v>1186.271604</v>
      </c>
      <c r="G35">
        <v>4382.6195340000004</v>
      </c>
      <c r="H35">
        <v>5079.9638649999997</v>
      </c>
      <c r="I35">
        <v>2621.427072</v>
      </c>
      <c r="J35">
        <v>11582.943832999999</v>
      </c>
      <c r="K35">
        <v>722.28511200000003</v>
      </c>
      <c r="M35">
        <f>B35*$N$1/'biomass Atlantis newsimGB'!M35</f>
        <v>2.3961788186951938E-3</v>
      </c>
      <c r="N35">
        <f>C35*$N$1/'biomass Atlantis newsimGB'!N35</f>
        <v>6.9006718322394778E-4</v>
      </c>
      <c r="O35">
        <f>D35*$N$1/'biomass Atlantis newsimGB'!O35</f>
        <v>1.0408843239488147E-2</v>
      </c>
      <c r="P35">
        <f>E35*$N$1/'biomass Atlantis newsimGB'!P35</f>
        <v>1.3493199246171097E-2</v>
      </c>
      <c r="Q35">
        <f>F35*$N$1/'biomass Atlantis newsimGB'!Q35</f>
        <v>3.6650275448103669E-3</v>
      </c>
      <c r="R35">
        <f>G35*$N$1/'biomass Atlantis newsimGB'!R35</f>
        <v>8.5678727589366954E-3</v>
      </c>
      <c r="S35">
        <f>H35*$N$1/'biomass Atlantis newsimGB'!S35</f>
        <v>2.5168422336235986E-2</v>
      </c>
      <c r="T35">
        <f>I35*$N$1/'biomass Atlantis newsimGB'!T35</f>
        <v>1.4326155188398089E-3</v>
      </c>
      <c r="U35">
        <f>J35*$N$1/'biomass Atlantis newsimGB'!U35</f>
        <v>1.1536451931715186E-2</v>
      </c>
      <c r="V35">
        <f>K35*$N$1/'biomass Atlantis newsimGB'!V35</f>
        <v>8.8069480607366388E-4</v>
      </c>
      <c r="X35">
        <f t="shared" si="1"/>
        <v>2789.8493119999998</v>
      </c>
      <c r="Y35">
        <f t="shared" si="1"/>
        <v>6620.3073439999998</v>
      </c>
      <c r="Z35">
        <f t="shared" si="1"/>
        <v>25190.581236999999</v>
      </c>
      <c r="AA35">
        <f t="shared" si="1"/>
        <v>12840.583185</v>
      </c>
      <c r="AB35">
        <f t="shared" si="1"/>
        <v>1186.271604</v>
      </c>
      <c r="AC35">
        <f t="shared" si="1"/>
        <v>4382.6195340000004</v>
      </c>
      <c r="AD35">
        <f t="shared" si="1"/>
        <v>5079.9638649999997</v>
      </c>
      <c r="AE35">
        <f t="shared" si="1"/>
        <v>2621.427072</v>
      </c>
      <c r="AF35">
        <f t="shared" si="1"/>
        <v>11582.943832999999</v>
      </c>
      <c r="AG35">
        <f t="shared" si="1"/>
        <v>722.28511200000003</v>
      </c>
      <c r="AI35" s="1">
        <f t="shared" si="2"/>
        <v>3.1947293632007693E-3</v>
      </c>
      <c r="AK35" s="1">
        <f t="shared" si="3"/>
        <v>-2.4955659265656163</v>
      </c>
    </row>
    <row r="36" spans="1:85">
      <c r="A36" s="8">
        <v>1996</v>
      </c>
      <c r="B36">
        <v>2868.751753</v>
      </c>
      <c r="C36">
        <v>6497.6742299999996</v>
      </c>
      <c r="D36">
        <v>30951.102112</v>
      </c>
      <c r="E36">
        <v>12691.859012000001</v>
      </c>
      <c r="F36">
        <v>1121.1759360000001</v>
      </c>
      <c r="G36">
        <v>4902.819829</v>
      </c>
      <c r="H36">
        <v>5141.242628</v>
      </c>
      <c r="I36">
        <v>3034.4895489999999</v>
      </c>
      <c r="J36">
        <v>14762.427841000001</v>
      </c>
      <c r="K36">
        <v>1160.4305360000001</v>
      </c>
      <c r="M36">
        <f>B36*$N$1/'biomass Atlantis newsimGB'!M36</f>
        <v>2.4807099045157841E-3</v>
      </c>
      <c r="N36">
        <f>C36*$N$1/'biomass Atlantis newsimGB'!N36</f>
        <v>7.0422015807253767E-4</v>
      </c>
      <c r="O36">
        <f>D36*$N$1/'biomass Atlantis newsimGB'!O36</f>
        <v>1.4118768519339653E-2</v>
      </c>
      <c r="P36">
        <f>E36*$N$1/'biomass Atlantis newsimGB'!P36</f>
        <v>1.360221707523891E-2</v>
      </c>
      <c r="Q36">
        <f>F36*$N$1/'biomass Atlantis newsimGB'!Q36</f>
        <v>3.7242124079012598E-3</v>
      </c>
      <c r="R36">
        <f>G36*$N$1/'biomass Atlantis newsimGB'!R36</f>
        <v>1.0059198628300035E-2</v>
      </c>
      <c r="S36">
        <f>H36*$N$1/'biomass Atlantis newsimGB'!S36</f>
        <v>2.6211640345252578E-2</v>
      </c>
      <c r="T36">
        <f>I36*$N$1/'biomass Atlantis newsimGB'!T36</f>
        <v>1.1968170602652216E-3</v>
      </c>
      <c r="U36">
        <f>J36*$N$1/'biomass Atlantis newsimGB'!U36</f>
        <v>1.5060090530332013E-2</v>
      </c>
      <c r="V36">
        <f>K36*$N$1/'biomass Atlantis newsimGB'!V36</f>
        <v>1.4206242624829298E-3</v>
      </c>
      <c r="X36">
        <f t="shared" si="1"/>
        <v>2868.751753</v>
      </c>
      <c r="Y36">
        <f t="shared" si="1"/>
        <v>6497.6742299999996</v>
      </c>
      <c r="Z36">
        <f t="shared" si="1"/>
        <v>30951.102112</v>
      </c>
      <c r="AA36">
        <f t="shared" si="1"/>
        <v>12691.859012000001</v>
      </c>
      <c r="AB36">
        <f t="shared" si="1"/>
        <v>1121.1759360000001</v>
      </c>
      <c r="AC36">
        <f t="shared" si="1"/>
        <v>4902.819829</v>
      </c>
      <c r="AD36">
        <f t="shared" si="1"/>
        <v>5141.242628</v>
      </c>
      <c r="AE36">
        <f t="shared" si="1"/>
        <v>3034.4895489999999</v>
      </c>
      <c r="AF36">
        <f t="shared" si="1"/>
        <v>14762.427841000001</v>
      </c>
      <c r="AG36">
        <f t="shared" si="1"/>
        <v>1160.4305360000001</v>
      </c>
      <c r="AI36" s="1">
        <f t="shared" si="2"/>
        <v>7.1042664121576376E-3</v>
      </c>
      <c r="AK36" s="1">
        <f t="shared" si="3"/>
        <v>-2.1484807607485252</v>
      </c>
    </row>
    <row r="37" spans="1:85">
      <c r="A37" s="8">
        <v>1997</v>
      </c>
      <c r="B37">
        <v>2733.9278389999999</v>
      </c>
      <c r="C37">
        <v>6273.593057</v>
      </c>
      <c r="D37">
        <v>34516.366400999999</v>
      </c>
      <c r="E37">
        <v>12615.64759</v>
      </c>
      <c r="F37">
        <v>1035.7113489999999</v>
      </c>
      <c r="G37">
        <v>4329.4929830000001</v>
      </c>
      <c r="H37">
        <v>4821.7655130000003</v>
      </c>
      <c r="I37">
        <v>4724.3861790000001</v>
      </c>
      <c r="J37">
        <v>12687.205758</v>
      </c>
      <c r="K37">
        <v>1155.134996</v>
      </c>
      <c r="M37">
        <f>B37*$N$1/'biomass Atlantis newsimGB'!M37</f>
        <v>2.2714746385031608E-3</v>
      </c>
      <c r="N37">
        <f>C37*$N$1/'biomass Atlantis newsimGB'!N37</f>
        <v>6.9755715479261494E-4</v>
      </c>
      <c r="O37">
        <f>D37*$N$1/'biomass Atlantis newsimGB'!O37</f>
        <v>1.2469694013380762E-2</v>
      </c>
      <c r="P37">
        <f>E37*$N$1/'biomass Atlantis newsimGB'!P37</f>
        <v>1.3664606265844996E-2</v>
      </c>
      <c r="Q37">
        <f>F37*$N$1/'biomass Atlantis newsimGB'!Q37</f>
        <v>3.5983546957242228E-3</v>
      </c>
      <c r="R37">
        <f>G37*$N$1/'biomass Atlantis newsimGB'!R37</f>
        <v>9.2361461608706161E-3</v>
      </c>
      <c r="S37">
        <f>H37*$N$1/'biomass Atlantis newsimGB'!S37</f>
        <v>2.1975633655403986E-2</v>
      </c>
      <c r="T37">
        <f>I37*$N$1/'biomass Atlantis newsimGB'!T37</f>
        <v>1.5093156228176518E-3</v>
      </c>
      <c r="U37">
        <f>J37*$N$1/'biomass Atlantis newsimGB'!U37</f>
        <v>1.2920945665081321E-2</v>
      </c>
      <c r="V37">
        <f>K37*$N$1/'biomass Atlantis newsimGB'!V37</f>
        <v>1.4178350115223988E-3</v>
      </c>
      <c r="X37">
        <f t="shared" si="1"/>
        <v>2733.9278389999999</v>
      </c>
      <c r="Y37">
        <f t="shared" si="1"/>
        <v>6273.593057</v>
      </c>
      <c r="Z37">
        <f t="shared" si="1"/>
        <v>34516.366400999999</v>
      </c>
      <c r="AA37">
        <f t="shared" si="1"/>
        <v>12615.64759</v>
      </c>
      <c r="AB37">
        <f t="shared" si="1"/>
        <v>1035.7113489999999</v>
      </c>
      <c r="AC37">
        <f t="shared" si="1"/>
        <v>4329.4929830000001</v>
      </c>
      <c r="AD37">
        <f t="shared" si="1"/>
        <v>4821.7655130000003</v>
      </c>
      <c r="AE37">
        <f t="shared" si="1"/>
        <v>4724.3861790000001</v>
      </c>
      <c r="AF37">
        <f t="shared" si="1"/>
        <v>12687.205758</v>
      </c>
      <c r="AG37">
        <f t="shared" si="1"/>
        <v>1155.134996</v>
      </c>
      <c r="AI37" s="1">
        <f t="shared" si="2"/>
        <v>1.8956236091639753E-2</v>
      </c>
      <c r="AK37" s="1">
        <f t="shared" si="3"/>
        <v>-1.7222478909908965</v>
      </c>
    </row>
    <row r="38" spans="1:85">
      <c r="A38" s="8">
        <v>1998</v>
      </c>
      <c r="B38">
        <v>2861.0459689999998</v>
      </c>
      <c r="C38">
        <v>6166.3685610000002</v>
      </c>
      <c r="D38">
        <v>46409.930415000003</v>
      </c>
      <c r="E38">
        <v>12406.548091000001</v>
      </c>
      <c r="F38">
        <v>1058.6518470000001</v>
      </c>
      <c r="G38">
        <v>4234.0265579999996</v>
      </c>
      <c r="H38">
        <v>5218.4902940000002</v>
      </c>
      <c r="I38">
        <v>7313.6337819999999</v>
      </c>
      <c r="J38">
        <v>10304.431597000001</v>
      </c>
      <c r="K38">
        <v>1079.214641</v>
      </c>
      <c r="M38">
        <f>B38*$N$1/'biomass Atlantis newsimGB'!M38</f>
        <v>2.4084105179554122E-3</v>
      </c>
      <c r="N38">
        <f>C38*$N$1/'biomass Atlantis newsimGB'!N38</f>
        <v>7.091064636157333E-4</v>
      </c>
      <c r="O38">
        <f>D38*$N$1/'biomass Atlantis newsimGB'!O38</f>
        <v>1.9087355331190093E-2</v>
      </c>
      <c r="P38">
        <f>E38*$N$1/'biomass Atlantis newsimGB'!P38</f>
        <v>1.3739478899015682E-2</v>
      </c>
      <c r="Q38">
        <f>F38*$N$1/'biomass Atlantis newsimGB'!Q38</f>
        <v>3.963147188911679E-3</v>
      </c>
      <c r="R38">
        <f>G38*$N$1/'biomass Atlantis newsimGB'!R38</f>
        <v>9.0116062417781827E-3</v>
      </c>
      <c r="S38">
        <f>H38*$N$1/'biomass Atlantis newsimGB'!S38</f>
        <v>2.6451384178311655E-2</v>
      </c>
      <c r="T38">
        <f>I38*$N$1/'biomass Atlantis newsimGB'!T38</f>
        <v>2.8764007718299202E-3</v>
      </c>
      <c r="U38">
        <f>J38*$N$1/'biomass Atlantis newsimGB'!U38</f>
        <v>1.0654099130461756E-2</v>
      </c>
      <c r="V38">
        <f>K38*$N$1/'biomass Atlantis newsimGB'!V38</f>
        <v>1.3326031293275521E-3</v>
      </c>
      <c r="X38">
        <f t="shared" si="1"/>
        <v>2861.0459689999998</v>
      </c>
      <c r="Y38">
        <f t="shared" si="1"/>
        <v>6166.3685610000002</v>
      </c>
      <c r="Z38">
        <f t="shared" si="1"/>
        <v>46409.930415000003</v>
      </c>
      <c r="AA38">
        <f t="shared" si="1"/>
        <v>12406.548091000001</v>
      </c>
      <c r="AB38">
        <f t="shared" si="1"/>
        <v>1058.6518470000001</v>
      </c>
      <c r="AC38">
        <f t="shared" si="1"/>
        <v>4234.0265579999996</v>
      </c>
      <c r="AD38">
        <f t="shared" si="1"/>
        <v>5218.4902940000002</v>
      </c>
      <c r="AE38">
        <f t="shared" si="1"/>
        <v>7313.6337819999999</v>
      </c>
      <c r="AF38">
        <f t="shared" si="1"/>
        <v>10304.431597000001</v>
      </c>
      <c r="AG38">
        <f t="shared" si="1"/>
        <v>1079.214641</v>
      </c>
      <c r="AI38" s="1">
        <f t="shared" si="2"/>
        <v>2.5491899817104778E-2</v>
      </c>
      <c r="AK38" s="1">
        <f t="shared" si="3"/>
        <v>-1.5935977969615138</v>
      </c>
    </row>
    <row r="39" spans="1:85">
      <c r="A39" s="8">
        <v>1999</v>
      </c>
      <c r="B39">
        <v>2885.6725809999998</v>
      </c>
      <c r="C39">
        <v>5901.3352599999998</v>
      </c>
      <c r="D39">
        <v>47500.126052</v>
      </c>
      <c r="E39">
        <v>12088.812813</v>
      </c>
      <c r="F39">
        <v>956.63707999999997</v>
      </c>
      <c r="G39">
        <v>4312.2256440000001</v>
      </c>
      <c r="H39">
        <v>5004.9745579999999</v>
      </c>
      <c r="I39">
        <v>5750.2392129999998</v>
      </c>
      <c r="J39">
        <v>11089.621295999999</v>
      </c>
      <c r="K39">
        <v>1349.95903</v>
      </c>
      <c r="M39">
        <f>B39*$N$1/'biomass Atlantis newsimGB'!M39</f>
        <v>2.4560614684212313E-3</v>
      </c>
      <c r="N39">
        <f>C39*$N$1/'biomass Atlantis newsimGB'!N39</f>
        <v>6.9678010555972256E-4</v>
      </c>
      <c r="O39">
        <f>D39*$N$1/'biomass Atlantis newsimGB'!O39</f>
        <v>2.1504605512979856E-2</v>
      </c>
      <c r="P39">
        <f>E39*$N$1/'biomass Atlantis newsimGB'!P39</f>
        <v>1.3455998440327925E-2</v>
      </c>
      <c r="Q39">
        <f>F39*$N$1/'biomass Atlantis newsimGB'!Q39</f>
        <v>3.6966804234008534E-3</v>
      </c>
      <c r="R39">
        <f>G39*$N$1/'biomass Atlantis newsimGB'!R39</f>
        <v>9.1647181354224845E-3</v>
      </c>
      <c r="S39">
        <f>H39*$N$1/'biomass Atlantis newsimGB'!S39</f>
        <v>2.4504226765621969E-2</v>
      </c>
      <c r="T39">
        <f>I39*$N$1/'biomass Atlantis newsimGB'!T39</f>
        <v>1.6774179968429149E-3</v>
      </c>
      <c r="U39">
        <f>J39*$N$1/'biomass Atlantis newsimGB'!U39</f>
        <v>1.1246681198943242E-2</v>
      </c>
      <c r="V39">
        <f>K39*$N$1/'biomass Atlantis newsimGB'!V39</f>
        <v>1.6617569858998719E-3</v>
      </c>
      <c r="X39">
        <f t="shared" si="1"/>
        <v>2885.6725809999998</v>
      </c>
      <c r="Y39">
        <f t="shared" si="1"/>
        <v>5901.3352599999998</v>
      </c>
      <c r="Z39">
        <f t="shared" si="1"/>
        <v>47500.126052</v>
      </c>
      <c r="AA39">
        <f t="shared" si="1"/>
        <v>12088.812813</v>
      </c>
      <c r="AB39">
        <f t="shared" si="1"/>
        <v>956.63707999999997</v>
      </c>
      <c r="AC39">
        <f t="shared" si="1"/>
        <v>4312.2256440000001</v>
      </c>
      <c r="AD39">
        <f t="shared" si="1"/>
        <v>5004.9745579999999</v>
      </c>
      <c r="AE39">
        <f t="shared" si="1"/>
        <v>5750.2392129999998</v>
      </c>
      <c r="AF39">
        <f t="shared" si="1"/>
        <v>11089.621295999999</v>
      </c>
      <c r="AG39">
        <f t="shared" si="1"/>
        <v>1349.95903</v>
      </c>
      <c r="AI39" s="1">
        <f t="shared" si="2"/>
        <v>8.4158373611276198E-3</v>
      </c>
      <c r="AK39" s="1">
        <f t="shared" si="3"/>
        <v>-2.0749026659953884</v>
      </c>
    </row>
    <row r="40" spans="1:85">
      <c r="A40" s="8">
        <v>2000</v>
      </c>
      <c r="B40">
        <v>2971.1190660000002</v>
      </c>
      <c r="C40">
        <v>5642.917144</v>
      </c>
      <c r="D40">
        <v>53171.488259999998</v>
      </c>
      <c r="E40">
        <v>11817.744916</v>
      </c>
      <c r="F40">
        <v>946.46885999999995</v>
      </c>
      <c r="G40">
        <v>4041.22957</v>
      </c>
      <c r="H40">
        <v>5118.976866</v>
      </c>
      <c r="I40">
        <v>9988.4696999999996</v>
      </c>
      <c r="J40">
        <v>10726.475574</v>
      </c>
      <c r="K40">
        <v>1482.992898</v>
      </c>
      <c r="M40">
        <f>B40*$N$1/'biomass Atlantis newsimGB'!M40</f>
        <v>2.550445173707774E-3</v>
      </c>
      <c r="N40">
        <f>C40*$N$1/'biomass Atlantis newsimGB'!N40</f>
        <v>6.8686223735061345E-4</v>
      </c>
      <c r="O40">
        <f>D40*$N$1/'biomass Atlantis newsimGB'!O40</f>
        <v>2.6730033100473265E-2</v>
      </c>
      <c r="P40">
        <f>E40*$N$1/'biomass Atlantis newsimGB'!P40</f>
        <v>1.3064464932504271E-2</v>
      </c>
      <c r="Q40">
        <f>F40*$N$1/'biomass Atlantis newsimGB'!Q40</f>
        <v>3.6466225024691743E-3</v>
      </c>
      <c r="R40">
        <f>G40*$N$1/'biomass Atlantis newsimGB'!R40</f>
        <v>8.209916423897597E-3</v>
      </c>
      <c r="S40">
        <f>H40*$N$1/'biomass Atlantis newsimGB'!S40</f>
        <v>2.5799335706489155E-2</v>
      </c>
      <c r="T40">
        <f>I40*$N$1/'biomass Atlantis newsimGB'!T40</f>
        <v>3.0006149045982158E-3</v>
      </c>
      <c r="U40">
        <f>J40*$N$1/'biomass Atlantis newsimGB'!U40</f>
        <v>1.0835152150065154E-2</v>
      </c>
      <c r="V40">
        <f>K40*$N$1/'biomass Atlantis newsimGB'!V40</f>
        <v>1.8426346421941745E-3</v>
      </c>
      <c r="X40">
        <f t="shared" si="1"/>
        <v>2971.1190660000002</v>
      </c>
      <c r="Y40">
        <f t="shared" si="1"/>
        <v>5642.917144</v>
      </c>
      <c r="Z40">
        <f t="shared" si="1"/>
        <v>53171.488259999998</v>
      </c>
      <c r="AA40">
        <f t="shared" si="1"/>
        <v>11817.744916</v>
      </c>
      <c r="AB40">
        <f t="shared" si="1"/>
        <v>946.46885999999995</v>
      </c>
      <c r="AC40">
        <f t="shared" si="1"/>
        <v>4041.22957</v>
      </c>
      <c r="AD40">
        <f t="shared" si="1"/>
        <v>5118.976866</v>
      </c>
      <c r="AE40">
        <f t="shared" si="1"/>
        <v>9988.4696999999996</v>
      </c>
      <c r="AF40">
        <f t="shared" si="1"/>
        <v>10726.475574</v>
      </c>
      <c r="AG40">
        <f t="shared" si="1"/>
        <v>1482.992898</v>
      </c>
      <c r="AI40" s="1">
        <f t="shared" si="2"/>
        <v>8.5853416666511822E-4</v>
      </c>
      <c r="AK40" s="1">
        <f t="shared" si="3"/>
        <v>-3.0662424167536599</v>
      </c>
    </row>
    <row r="41" spans="1:85">
      <c r="A41" s="8">
        <v>2001</v>
      </c>
      <c r="B41">
        <v>2939.5121690000001</v>
      </c>
      <c r="C41">
        <v>5349.5453040000002</v>
      </c>
      <c r="D41">
        <v>51524.889323000003</v>
      </c>
      <c r="E41">
        <v>11649.587937</v>
      </c>
      <c r="F41">
        <v>878.17916500000001</v>
      </c>
      <c r="G41">
        <v>4192.0873080000001</v>
      </c>
      <c r="H41">
        <v>4991.8992609999996</v>
      </c>
      <c r="I41">
        <v>11025.068055</v>
      </c>
      <c r="J41">
        <v>10216.320663</v>
      </c>
      <c r="K41">
        <v>1325.679061</v>
      </c>
      <c r="M41">
        <f>B41*$N$1/'biomass Atlantis newsimGB'!M41</f>
        <v>2.4495839196135801E-3</v>
      </c>
      <c r="N41">
        <f>C41*$N$1/'biomass Atlantis newsimGB'!N41</f>
        <v>6.6556975045344317E-4</v>
      </c>
      <c r="O41">
        <f>D41*$N$1/'biomass Atlantis newsimGB'!O41</f>
        <v>2.2665992195797759E-2</v>
      </c>
      <c r="P41">
        <f>E41*$N$1/'biomass Atlantis newsimGB'!P41</f>
        <v>1.2629888867650594E-2</v>
      </c>
      <c r="Q41">
        <f>F41*$N$1/'biomass Atlantis newsimGB'!Q41</f>
        <v>3.1762989606634131E-3</v>
      </c>
      <c r="R41">
        <f>G41*$N$1/'biomass Atlantis newsimGB'!R41</f>
        <v>7.9630316097337416E-3</v>
      </c>
      <c r="S41">
        <f>H41*$N$1/'biomass Atlantis newsimGB'!S41</f>
        <v>2.3894368819211725E-2</v>
      </c>
      <c r="T41">
        <f>I41*$N$1/'biomass Atlantis newsimGB'!T41</f>
        <v>2.7494521621639575E-3</v>
      </c>
      <c r="U41">
        <f>J41*$N$1/'biomass Atlantis newsimGB'!U41</f>
        <v>9.7156258831137335E-3</v>
      </c>
      <c r="V41">
        <f>K41*$N$1/'biomass Atlantis newsimGB'!V41</f>
        <v>1.6317425666040769E-3</v>
      </c>
      <c r="X41">
        <f t="shared" si="1"/>
        <v>2939.5121690000001</v>
      </c>
      <c r="Y41">
        <f t="shared" si="1"/>
        <v>5349.5453040000002</v>
      </c>
      <c r="Z41">
        <f t="shared" si="1"/>
        <v>51524.889323000003</v>
      </c>
      <c r="AA41">
        <f t="shared" si="1"/>
        <v>11649.587937</v>
      </c>
      <c r="AB41">
        <f t="shared" si="1"/>
        <v>878.17916500000001</v>
      </c>
      <c r="AC41">
        <f t="shared" si="1"/>
        <v>4192.0873080000001</v>
      </c>
      <c r="AD41">
        <f t="shared" si="1"/>
        <v>4991.8992609999996</v>
      </c>
      <c r="AE41">
        <f t="shared" si="1"/>
        <v>11025.068055</v>
      </c>
      <c r="AF41">
        <f t="shared" si="1"/>
        <v>10216.320663</v>
      </c>
      <c r="AG41">
        <f t="shared" si="1"/>
        <v>1325.679061</v>
      </c>
      <c r="AI41" s="1"/>
    </row>
    <row r="42" spans="1:85">
      <c r="A42" s="8">
        <v>2002</v>
      </c>
      <c r="B42">
        <v>2873.0860250000001</v>
      </c>
      <c r="C42">
        <v>5077.5734060000004</v>
      </c>
      <c r="D42">
        <v>65926.931674000007</v>
      </c>
      <c r="E42">
        <v>11655.362558999999</v>
      </c>
      <c r="F42">
        <v>950.96548800000005</v>
      </c>
      <c r="G42">
        <v>4328.2796820000003</v>
      </c>
      <c r="H42">
        <v>4935.5954490000004</v>
      </c>
      <c r="I42">
        <v>15364.96053</v>
      </c>
      <c r="J42">
        <v>11200.245174</v>
      </c>
      <c r="K42">
        <v>1245.895747</v>
      </c>
      <c r="M42">
        <f>B42*$N$1/'biomass Atlantis newsimGB'!M42</f>
        <v>2.4159914947233692E-3</v>
      </c>
      <c r="N42">
        <f>C42*$N$1/'biomass Atlantis newsimGB'!N42</f>
        <v>6.4081812106848415E-4</v>
      </c>
      <c r="O42">
        <f>D42*$N$1/'biomass Atlantis newsimGB'!O42</f>
        <v>3.1832972703881454E-2</v>
      </c>
      <c r="P42">
        <f>E42*$N$1/'biomass Atlantis newsimGB'!P42</f>
        <v>1.2245595432103492E-2</v>
      </c>
      <c r="Q42">
        <f>F42*$N$1/'biomass Atlantis newsimGB'!Q42</f>
        <v>3.139798871355663E-3</v>
      </c>
      <c r="R42">
        <f>G42*$N$1/'biomass Atlantis newsimGB'!R42</f>
        <v>7.6478443040678273E-3</v>
      </c>
      <c r="S42">
        <f>H42*$N$1/'biomass Atlantis newsimGB'!S42</f>
        <v>2.2233023103215226E-2</v>
      </c>
      <c r="T42">
        <f>I42*$N$1/'biomass Atlantis newsimGB'!T42</f>
        <v>4.8785211497223814E-3</v>
      </c>
      <c r="U42">
        <f>J42*$N$1/'biomass Atlantis newsimGB'!U42</f>
        <v>1.0065600372059584E-2</v>
      </c>
      <c r="V42">
        <f>K42*$N$1/'biomass Atlantis newsimGB'!V42</f>
        <v>1.539508498587945E-3</v>
      </c>
      <c r="X42">
        <f t="shared" si="1"/>
        <v>2873.0860250000001</v>
      </c>
      <c r="Y42">
        <f t="shared" si="1"/>
        <v>5077.5734060000004</v>
      </c>
      <c r="Z42">
        <f t="shared" si="1"/>
        <v>65926.931674000007</v>
      </c>
      <c r="AA42">
        <f t="shared" si="1"/>
        <v>11655.362558999999</v>
      </c>
      <c r="AB42">
        <f t="shared" si="1"/>
        <v>950.96548800000005</v>
      </c>
      <c r="AC42">
        <f t="shared" si="1"/>
        <v>4328.2796820000003</v>
      </c>
      <c r="AD42">
        <f t="shared" si="1"/>
        <v>4935.5954490000004</v>
      </c>
      <c r="AE42">
        <f t="shared" si="1"/>
        <v>15364.96053</v>
      </c>
      <c r="AF42">
        <f t="shared" si="1"/>
        <v>11200.245174</v>
      </c>
      <c r="AG42">
        <f t="shared" si="1"/>
        <v>1245.895747</v>
      </c>
      <c r="AI42" s="1" t="s">
        <v>251</v>
      </c>
    </row>
    <row r="43" spans="1:85">
      <c r="A43" s="8">
        <v>2003</v>
      </c>
      <c r="B43">
        <v>2905.8942160000001</v>
      </c>
      <c r="C43">
        <v>4844.899418</v>
      </c>
      <c r="D43">
        <v>68600.921262999997</v>
      </c>
      <c r="E43">
        <v>11782.842565000001</v>
      </c>
      <c r="F43">
        <v>995.42760499999997</v>
      </c>
      <c r="G43">
        <v>4601.6661009999998</v>
      </c>
      <c r="H43">
        <v>4938.4706779999997</v>
      </c>
      <c r="I43">
        <v>14373.865256999999</v>
      </c>
      <c r="J43">
        <v>10335.746611</v>
      </c>
      <c r="K43">
        <v>1113.6343489999999</v>
      </c>
      <c r="M43">
        <f>B43*$N$1/'biomass Atlantis newsimGB'!M43</f>
        <v>2.4542572366675315E-3</v>
      </c>
      <c r="N43">
        <f>C43*$N$1/'biomass Atlantis newsimGB'!N43</f>
        <v>6.1645634436827503E-4</v>
      </c>
      <c r="O43">
        <f>D43*$N$1/'biomass Atlantis newsimGB'!O43</f>
        <v>3.7539979455574995E-2</v>
      </c>
      <c r="P43">
        <f>E43*$N$1/'biomass Atlantis newsimGB'!P43</f>
        <v>1.1882653116220727E-2</v>
      </c>
      <c r="Q43">
        <f>F43*$N$1/'biomass Atlantis newsimGB'!Q43</f>
        <v>2.8724289043236171E-3</v>
      </c>
      <c r="R43">
        <f>G43*$N$1/'biomass Atlantis newsimGB'!R43</f>
        <v>7.528881029754012E-3</v>
      </c>
      <c r="S43">
        <f>H43*$N$1/'biomass Atlantis newsimGB'!S43</f>
        <v>2.1243761763506102E-2</v>
      </c>
      <c r="T43">
        <f>I43*$N$1/'biomass Atlantis newsimGB'!T43</f>
        <v>3.6337486161689895E-3</v>
      </c>
      <c r="U43">
        <f>J43*$N$1/'biomass Atlantis newsimGB'!U43</f>
        <v>8.7622631973380254E-3</v>
      </c>
      <c r="V43">
        <f>K43*$N$1/'biomass Atlantis newsimGB'!V43</f>
        <v>1.383984685419147E-3</v>
      </c>
      <c r="X43">
        <f t="shared" si="1"/>
        <v>2905.8942160000001</v>
      </c>
      <c r="Y43">
        <f t="shared" si="1"/>
        <v>4844.899418</v>
      </c>
      <c r="Z43">
        <f t="shared" si="1"/>
        <v>68600.921262999997</v>
      </c>
      <c r="AA43">
        <f t="shared" si="1"/>
        <v>11782.842565000001</v>
      </c>
      <c r="AB43">
        <f t="shared" si="1"/>
        <v>995.42760499999997</v>
      </c>
      <c r="AC43">
        <f t="shared" si="1"/>
        <v>4601.6661009999998</v>
      </c>
      <c r="AD43">
        <f t="shared" si="1"/>
        <v>4938.4706779999997</v>
      </c>
      <c r="AE43">
        <f t="shared" si="1"/>
        <v>14373.865256999999</v>
      </c>
      <c r="AF43">
        <f t="shared" si="1"/>
        <v>10335.746611</v>
      </c>
      <c r="AG43">
        <f t="shared" si="1"/>
        <v>1113.6343489999999</v>
      </c>
      <c r="AI43" s="1">
        <f t="shared" ref="AI43:CG47" si="4">LOG10(AI17)-$AK31</f>
        <v>-0.30370383628479036</v>
      </c>
      <c r="AJ43" s="1">
        <f t="shared" si="4"/>
        <v>-0.29779916491866709</v>
      </c>
      <c r="AK43" s="1">
        <f t="shared" si="4"/>
        <v>-0.26958145350677043</v>
      </c>
      <c r="AL43" s="1">
        <f t="shared" si="4"/>
        <v>-0.28074787882950725</v>
      </c>
      <c r="AM43" s="1">
        <f t="shared" si="4"/>
        <v>-0.21320243282162332</v>
      </c>
      <c r="AN43" s="1">
        <f t="shared" si="4"/>
        <v>-0.25578155080467146</v>
      </c>
      <c r="AO43" s="1">
        <f t="shared" si="4"/>
        <v>-0.22774463647247334</v>
      </c>
      <c r="AP43" s="1">
        <f t="shared" si="4"/>
        <v>-0.2320281593494431</v>
      </c>
      <c r="AQ43" s="1">
        <f t="shared" si="4"/>
        <v>-0.23223636110294921</v>
      </c>
      <c r="AR43" s="1">
        <f t="shared" si="4"/>
        <v>-0.20853765472399211</v>
      </c>
      <c r="AS43" s="1">
        <f t="shared" si="4"/>
        <v>-0.16101704410361473</v>
      </c>
      <c r="AT43" s="1">
        <f t="shared" si="4"/>
        <v>-0.14940257480577923</v>
      </c>
      <c r="AU43" s="1">
        <f t="shared" si="4"/>
        <v>-0.13179150659744199</v>
      </c>
      <c r="AV43" s="1">
        <f t="shared" si="4"/>
        <v>-8.464625396952874E-2</v>
      </c>
      <c r="AW43" s="1">
        <f t="shared" si="4"/>
        <v>-7.4146647597004733E-2</v>
      </c>
      <c r="AX43" s="1">
        <f t="shared" si="4"/>
        <v>-5.7432105388661281E-2</v>
      </c>
      <c r="AY43" s="1">
        <f t="shared" si="4"/>
        <v>-3.1130871485602896E-2</v>
      </c>
      <c r="AZ43" s="1">
        <f t="shared" si="4"/>
        <v>-6.2918470291242201E-3</v>
      </c>
      <c r="BA43" s="1">
        <f t="shared" si="4"/>
        <v>4.5150245399687705E-3</v>
      </c>
      <c r="BB43" s="1">
        <f t="shared" si="4"/>
        <v>1.4818708922254675E-2</v>
      </c>
      <c r="BC43" s="1">
        <f t="shared" si="4"/>
        <v>2.1642965697416638E-2</v>
      </c>
      <c r="BD43" s="1">
        <f t="shared" si="4"/>
        <v>-5.19701466129594E-2</v>
      </c>
      <c r="BE43" s="1">
        <f t="shared" si="4"/>
        <v>1.932951291580709E-2</v>
      </c>
      <c r="BF43" s="1">
        <f t="shared" si="4"/>
        <v>1.963931782807693E-2</v>
      </c>
      <c r="BG43" s="1">
        <f t="shared" si="4"/>
        <v>9.7285185219151415E-3</v>
      </c>
      <c r="BH43" s="1">
        <f t="shared" si="4"/>
        <v>2.1630359471086269E-2</v>
      </c>
      <c r="BI43" s="1">
        <f t="shared" si="4"/>
        <v>1.5895866348336174E-2</v>
      </c>
      <c r="BJ43" s="1">
        <f t="shared" si="4"/>
        <v>-1.2121605555307724E-2</v>
      </c>
      <c r="BK43" s="1">
        <f t="shared" si="4"/>
        <v>3.3849973388495158E-2</v>
      </c>
      <c r="BL43" s="1">
        <f t="shared" si="4"/>
        <v>3.7068315359985338E-2</v>
      </c>
      <c r="BM43" s="1">
        <f t="shared" si="4"/>
        <v>2.1515056923989029E-2</v>
      </c>
      <c r="BN43" s="1">
        <f t="shared" si="4"/>
        <v>2.4050199631805658E-2</v>
      </c>
      <c r="BO43" s="1">
        <f t="shared" si="4"/>
        <v>3.9106955404279553E-2</v>
      </c>
      <c r="BP43" s="1">
        <f t="shared" si="4"/>
        <v>8.3886696906532165E-4</v>
      </c>
      <c r="BQ43" s="1">
        <f t="shared" si="4"/>
        <v>2.6261489961687978E-2</v>
      </c>
      <c r="BR43" s="1">
        <f t="shared" si="4"/>
        <v>3.4770206575579721E-2</v>
      </c>
      <c r="BS43" s="1">
        <f t="shared" si="4"/>
        <v>5.1146966827447127E-2</v>
      </c>
      <c r="BT43" s="1">
        <f t="shared" si="4"/>
        <v>3.3623297202460378E-2</v>
      </c>
      <c r="BU43" s="1">
        <f t="shared" si="4"/>
        <v>2.7626375839358008E-2</v>
      </c>
      <c r="BV43" s="1">
        <f t="shared" si="4"/>
        <v>3.4451055018611232E-2</v>
      </c>
      <c r="BW43" s="1">
        <f t="shared" si="4"/>
        <v>-2.4913494979374562E-2</v>
      </c>
      <c r="BX43" s="1">
        <f t="shared" si="4"/>
        <v>5.3543006757012623E-2</v>
      </c>
      <c r="BY43" s="1">
        <f t="shared" si="4"/>
        <v>0.12371159617899963</v>
      </c>
      <c r="BZ43" s="1">
        <f t="shared" si="4"/>
        <v>0.18360103363152147</v>
      </c>
      <c r="CA43" s="1">
        <f t="shared" si="4"/>
        <v>0.21485433364270445</v>
      </c>
      <c r="CB43" s="1">
        <f t="shared" si="4"/>
        <v>0.19426686682822725</v>
      </c>
      <c r="CC43" s="1">
        <f t="shared" si="4"/>
        <v>0.17353404741573319</v>
      </c>
      <c r="CD43" s="1">
        <f t="shared" si="4"/>
        <v>0.18908751825554226</v>
      </c>
      <c r="CE43" s="1">
        <f t="shared" si="4"/>
        <v>0.18783046360526967</v>
      </c>
      <c r="CF43" s="1">
        <f t="shared" si="4"/>
        <v>0.1783616860076509</v>
      </c>
      <c r="CG43" s="1">
        <f t="shared" si="4"/>
        <v>0.18730659013139217</v>
      </c>
    </row>
    <row r="44" spans="1:85">
      <c r="A44" s="8">
        <v>2004</v>
      </c>
      <c r="B44">
        <v>2770.5025690000002</v>
      </c>
      <c r="C44">
        <v>4718.1857099999997</v>
      </c>
      <c r="D44">
        <v>71773.226406000002</v>
      </c>
      <c r="E44">
        <v>12212.087820999999</v>
      </c>
      <c r="F44">
        <v>1129.7362740000001</v>
      </c>
      <c r="G44">
        <v>5220.9167200000002</v>
      </c>
      <c r="H44">
        <v>5056.5402050000002</v>
      </c>
      <c r="I44">
        <v>19629.317752999999</v>
      </c>
      <c r="J44">
        <v>10251.135213</v>
      </c>
      <c r="K44">
        <v>969.75856699999997</v>
      </c>
      <c r="M44">
        <f>B44*$N$1/'biomass Atlantis newsimGB'!M44</f>
        <v>2.1406986256374948E-3</v>
      </c>
      <c r="N44">
        <f>C44*$N$1/'biomass Atlantis newsimGB'!N44</f>
        <v>6.0536280025673297E-4</v>
      </c>
      <c r="O44">
        <f>D44*$N$1/'biomass Atlantis newsimGB'!O44</f>
        <v>2.8154128220049215E-2</v>
      </c>
      <c r="P44">
        <f>E44*$N$1/'biomass Atlantis newsimGB'!P44</f>
        <v>1.1814681476559334E-2</v>
      </c>
      <c r="Q44">
        <f>F44*$N$1/'biomass Atlantis newsimGB'!Q44</f>
        <v>2.8611990807379281E-3</v>
      </c>
      <c r="R44">
        <f>G44*$N$1/'biomass Atlantis newsimGB'!R44</f>
        <v>8.2089726009471758E-3</v>
      </c>
      <c r="S44">
        <f>H44*$N$1/'biomass Atlantis newsimGB'!S44</f>
        <v>2.2124744404205168E-2</v>
      </c>
      <c r="T44">
        <f>I44*$N$1/'biomass Atlantis newsimGB'!T44</f>
        <v>6.5825416746149333E-3</v>
      </c>
      <c r="U44">
        <f>J44*$N$1/'biomass Atlantis newsimGB'!U44</f>
        <v>8.2108926158208379E-3</v>
      </c>
      <c r="V44">
        <f>K44*$N$1/'biomass Atlantis newsimGB'!V44</f>
        <v>1.2044221581911782E-3</v>
      </c>
      <c r="X44">
        <f t="shared" ref="X44:AG55" si="5">B44*$N$1</f>
        <v>2770.5025690000002</v>
      </c>
      <c r="Y44">
        <f t="shared" si="5"/>
        <v>4718.1857099999997</v>
      </c>
      <c r="Z44">
        <f t="shared" si="5"/>
        <v>71773.226406000002</v>
      </c>
      <c r="AA44">
        <f t="shared" si="5"/>
        <v>12212.087820999999</v>
      </c>
      <c r="AB44">
        <f t="shared" si="5"/>
        <v>1129.7362740000001</v>
      </c>
      <c r="AC44">
        <f t="shared" si="5"/>
        <v>5220.9167200000002</v>
      </c>
      <c r="AD44">
        <f t="shared" si="5"/>
        <v>5056.5402050000002</v>
      </c>
      <c r="AE44">
        <f t="shared" si="5"/>
        <v>19629.317752999999</v>
      </c>
      <c r="AF44">
        <f t="shared" si="5"/>
        <v>10251.135213</v>
      </c>
      <c r="AG44">
        <f t="shared" si="5"/>
        <v>969.75856699999997</v>
      </c>
      <c r="AI44" s="1">
        <f t="shared" si="4"/>
        <v>-0.32266104531750051</v>
      </c>
      <c r="AJ44" s="1">
        <f t="shared" si="4"/>
        <v>-0.43899178844982911</v>
      </c>
      <c r="AK44" s="1">
        <f t="shared" si="4"/>
        <v>-0.48838544078561075</v>
      </c>
      <c r="AL44" s="1">
        <f t="shared" si="4"/>
        <v>-0.51307287998124584</v>
      </c>
      <c r="AM44" s="1">
        <f t="shared" si="4"/>
        <v>-0.506841591931388</v>
      </c>
      <c r="AN44" s="1">
        <f t="shared" si="4"/>
        <v>-0.48562350712147451</v>
      </c>
      <c r="AO44" s="1">
        <f t="shared" si="4"/>
        <v>-0.45672854306578348</v>
      </c>
      <c r="AP44" s="1">
        <f t="shared" si="4"/>
        <v>-0.41503290461016462</v>
      </c>
      <c r="AQ44" s="1">
        <f t="shared" si="4"/>
        <v>-0.38518827139476297</v>
      </c>
      <c r="AR44" s="1">
        <f t="shared" si="4"/>
        <v>-0.35319346156378595</v>
      </c>
      <c r="AS44" s="1">
        <f t="shared" si="4"/>
        <v>-0.31033177591283767</v>
      </c>
      <c r="AT44" s="1">
        <f t="shared" si="4"/>
        <v>-0.28231255304589142</v>
      </c>
      <c r="AU44" s="1">
        <f t="shared" si="4"/>
        <v>-0.24529985178067992</v>
      </c>
      <c r="AV44" s="1">
        <f t="shared" si="4"/>
        <v>-0.19338321308842676</v>
      </c>
      <c r="AW44" s="1">
        <f t="shared" si="4"/>
        <v>-0.16330439297372612</v>
      </c>
      <c r="AX44" s="1">
        <f t="shared" si="4"/>
        <v>-0.12712788743808323</v>
      </c>
      <c r="AY44" s="1">
        <f t="shared" si="4"/>
        <v>-7.3233800818955697E-2</v>
      </c>
      <c r="AZ44" s="1">
        <f t="shared" si="4"/>
        <v>-5.3245211026242245E-2</v>
      </c>
      <c r="BA44" s="1">
        <f t="shared" si="4"/>
        <v>-2.4806392145366285E-2</v>
      </c>
      <c r="BB44" s="1">
        <f t="shared" si="4"/>
        <v>1.5863373908835854E-2</v>
      </c>
      <c r="BC44" s="1">
        <f t="shared" si="4"/>
        <v>3.4053308248768843E-2</v>
      </c>
      <c r="BD44" s="1">
        <f t="shared" si="4"/>
        <v>5.0774363980413018E-2</v>
      </c>
      <c r="BE44" s="1">
        <f t="shared" si="4"/>
        <v>9.5512025859605831E-2</v>
      </c>
      <c r="BF44" s="1">
        <f t="shared" si="4"/>
        <v>0.11240031271331619</v>
      </c>
      <c r="BG44" s="1">
        <f t="shared" si="4"/>
        <v>0.13947906499293294</v>
      </c>
      <c r="BH44" s="1">
        <f t="shared" si="4"/>
        <v>0.15692675678740109</v>
      </c>
      <c r="BI44" s="1">
        <f t="shared" si="4"/>
        <v>0.1473131773427836</v>
      </c>
      <c r="BJ44" s="1">
        <f t="shared" si="4"/>
        <v>0.14489920907882015</v>
      </c>
      <c r="BK44" s="1">
        <f t="shared" si="4"/>
        <v>0.14879966006858636</v>
      </c>
      <c r="BL44" s="1">
        <f t="shared" si="4"/>
        <v>0.15264804900753504</v>
      </c>
      <c r="BM44" s="1">
        <f t="shared" si="4"/>
        <v>0.15126942145716171</v>
      </c>
      <c r="BN44" s="1">
        <f t="shared" si="4"/>
        <v>0.15616907248001688</v>
      </c>
      <c r="BO44" s="1">
        <f t="shared" si="4"/>
        <v>0.1649861503043577</v>
      </c>
      <c r="BP44" s="1">
        <f t="shared" si="4"/>
        <v>0.16085749545452632</v>
      </c>
      <c r="BQ44" s="1">
        <f t="shared" si="4"/>
        <v>0.16798914190859149</v>
      </c>
      <c r="BR44" s="1">
        <f t="shared" si="4"/>
        <v>0.16037344007059007</v>
      </c>
      <c r="BS44" s="1">
        <f t="shared" si="4"/>
        <v>0.15414733803171421</v>
      </c>
      <c r="BT44" s="1">
        <f t="shared" si="4"/>
        <v>0.14047127329183695</v>
      </c>
      <c r="BU44" s="1">
        <f t="shared" si="4"/>
        <v>0.12401248209268534</v>
      </c>
      <c r="BV44" s="1">
        <f t="shared" si="4"/>
        <v>0.10718002441248276</v>
      </c>
      <c r="BW44" s="1">
        <f t="shared" si="4"/>
        <v>9.9293427755929642E-2</v>
      </c>
      <c r="BX44" s="1">
        <f t="shared" si="4"/>
        <v>9.0967540894630883E-2</v>
      </c>
      <c r="BY44" s="1">
        <f t="shared" si="4"/>
        <v>8.1290997796355846E-2</v>
      </c>
      <c r="BZ44" s="1">
        <f t="shared" si="4"/>
        <v>7.4031250535347315E-2</v>
      </c>
      <c r="CA44" s="1">
        <f t="shared" si="4"/>
        <v>6.0209001748911639E-2</v>
      </c>
      <c r="CB44" s="1">
        <f t="shared" si="4"/>
        <v>5.5477830166473119E-2</v>
      </c>
      <c r="CC44" s="1">
        <f t="shared" si="4"/>
        <v>5.220268283750551E-2</v>
      </c>
      <c r="CD44" s="1">
        <f t="shared" si="4"/>
        <v>4.7552282834844917E-2</v>
      </c>
      <c r="CE44" s="1">
        <f t="shared" si="4"/>
        <v>3.8411956997863594E-2</v>
      </c>
      <c r="CF44" s="1">
        <f t="shared" si="4"/>
        <v>3.1775541010242492E-2</v>
      </c>
      <c r="CG44" s="1">
        <f t="shared" si="4"/>
        <v>2.9653063914137689E-2</v>
      </c>
    </row>
    <row r="45" spans="1:85">
      <c r="A45" s="8">
        <v>2005</v>
      </c>
      <c r="B45">
        <v>3222.8972950000002</v>
      </c>
      <c r="C45">
        <v>4612.3149569999996</v>
      </c>
      <c r="D45">
        <v>105211.671667</v>
      </c>
      <c r="E45">
        <v>12723.628692</v>
      </c>
      <c r="F45">
        <v>1322.89059</v>
      </c>
      <c r="G45">
        <v>5492.5781850000003</v>
      </c>
      <c r="H45">
        <v>4783.4277350000002</v>
      </c>
      <c r="I45">
        <v>14218.210268000001</v>
      </c>
      <c r="J45">
        <v>10713.298546</v>
      </c>
      <c r="K45">
        <v>899.68777499999999</v>
      </c>
      <c r="M45">
        <f>B45*$N$1/'biomass Atlantis newsimGB'!M45</f>
        <v>2.564555085628085E-3</v>
      </c>
      <c r="N45">
        <f>C45*$N$1/'biomass Atlantis newsimGB'!N45</f>
        <v>5.9386788878538826E-4</v>
      </c>
      <c r="O45">
        <f>D45*$N$1/'biomass Atlantis newsimGB'!O45</f>
        <v>3.9846366099825607E-2</v>
      </c>
      <c r="P45">
        <f>E45*$N$1/'biomass Atlantis newsimGB'!P45</f>
        <v>1.1809770240026891E-2</v>
      </c>
      <c r="Q45">
        <f>F45*$N$1/'biomass Atlantis newsimGB'!Q45</f>
        <v>3.0507889445680883E-3</v>
      </c>
      <c r="R45">
        <f>G45*$N$1/'biomass Atlantis newsimGB'!R45</f>
        <v>8.4847224725144964E-3</v>
      </c>
      <c r="S45">
        <f>H45*$N$1/'biomass Atlantis newsimGB'!S45</f>
        <v>1.893072785302588E-2</v>
      </c>
      <c r="T45">
        <f>I45*$N$1/'biomass Atlantis newsimGB'!T45</f>
        <v>4.7052224432321274E-3</v>
      </c>
      <c r="U45">
        <f>J45*$N$1/'biomass Atlantis newsimGB'!U45</f>
        <v>8.1511481484863018E-3</v>
      </c>
      <c r="V45">
        <f>K45*$N$1/'biomass Atlantis newsimGB'!V45</f>
        <v>1.1063739107658027E-3</v>
      </c>
      <c r="X45">
        <f t="shared" si="5"/>
        <v>3222.8972950000002</v>
      </c>
      <c r="Y45">
        <f t="shared" si="5"/>
        <v>4612.3149569999996</v>
      </c>
      <c r="Z45">
        <f t="shared" si="5"/>
        <v>105211.671667</v>
      </c>
      <c r="AA45">
        <f t="shared" si="5"/>
        <v>12723.628692</v>
      </c>
      <c r="AB45">
        <f t="shared" si="5"/>
        <v>1322.89059</v>
      </c>
      <c r="AC45">
        <f t="shared" si="5"/>
        <v>5492.5781850000003</v>
      </c>
      <c r="AD45">
        <f t="shared" si="5"/>
        <v>4783.4277350000002</v>
      </c>
      <c r="AE45">
        <f t="shared" si="5"/>
        <v>14218.210268000001</v>
      </c>
      <c r="AF45">
        <f t="shared" si="5"/>
        <v>10713.298546</v>
      </c>
      <c r="AG45">
        <f t="shared" si="5"/>
        <v>899.68777499999999</v>
      </c>
      <c r="AI45" s="1">
        <f t="shared" si="4"/>
        <v>-0.18220602936663677</v>
      </c>
      <c r="AJ45" s="1">
        <f t="shared" si="4"/>
        <v>-0.12155902020729425</v>
      </c>
      <c r="AK45" s="1">
        <f t="shared" si="4"/>
        <v>-4.6070373270651555E-2</v>
      </c>
      <c r="AL45" s="1">
        <f t="shared" si="4"/>
        <v>4.691924858204044E-2</v>
      </c>
      <c r="AM45" s="1">
        <f t="shared" si="4"/>
        <v>0.15258053024422247</v>
      </c>
      <c r="AN45" s="1">
        <f t="shared" si="4"/>
        <v>0.25604177928223282</v>
      </c>
      <c r="AO45" s="1">
        <f t="shared" si="4"/>
        <v>0.3597726378477113</v>
      </c>
      <c r="AP45" s="1">
        <f t="shared" si="4"/>
        <v>0.4319840636213742</v>
      </c>
      <c r="AQ45" s="1">
        <f t="shared" si="4"/>
        <v>0.52217993880612479</v>
      </c>
      <c r="AR45" s="1">
        <f t="shared" si="4"/>
        <v>0.57872867514735726</v>
      </c>
      <c r="AS45" s="1">
        <f t="shared" si="4"/>
        <v>0.60082398528542569</v>
      </c>
      <c r="AT45" s="1">
        <f t="shared" si="4"/>
        <v>0.55886141704538184</v>
      </c>
      <c r="AU45" s="1">
        <f t="shared" si="4"/>
        <v>0.65198811496209852</v>
      </c>
      <c r="AV45" s="1">
        <f t="shared" si="4"/>
        <v>0.71844903784375802</v>
      </c>
      <c r="AW45" s="1">
        <f t="shared" si="4"/>
        <v>-1.2248518201698402</v>
      </c>
      <c r="AX45" s="1">
        <f t="shared" si="4"/>
        <v>-1.1953428430453727</v>
      </c>
      <c r="AY45" s="1">
        <f t="shared" si="4"/>
        <v>-1.120913487328961</v>
      </c>
      <c r="AZ45" s="1">
        <f t="shared" si="4"/>
        <v>-1.0910149404311591</v>
      </c>
      <c r="BA45" s="1">
        <f t="shared" si="4"/>
        <v>-1.105688569114708</v>
      </c>
      <c r="BB45" s="1">
        <f t="shared" si="4"/>
        <v>-1.2151039225632543</v>
      </c>
      <c r="BC45" s="1">
        <f t="shared" si="4"/>
        <v>-1.1177427202616355</v>
      </c>
      <c r="BD45" s="1">
        <f t="shared" si="4"/>
        <v>-1.0485635758205785</v>
      </c>
      <c r="BE45" s="1">
        <f t="shared" si="4"/>
        <v>-0.97039254877691761</v>
      </c>
      <c r="BF45" s="1">
        <f t="shared" si="4"/>
        <v>-0.88595003541608941</v>
      </c>
      <c r="BG45" s="1">
        <f t="shared" si="4"/>
        <v>-0.83794710937829509</v>
      </c>
      <c r="BH45" s="1">
        <f t="shared" si="4"/>
        <v>-0.79207836894999106</v>
      </c>
      <c r="BI45" s="1">
        <f t="shared" si="4"/>
        <v>-0.80580439848594909</v>
      </c>
      <c r="BJ45" s="1">
        <f t="shared" si="4"/>
        <v>-0.82767279417070005</v>
      </c>
      <c r="BK45" s="1">
        <f t="shared" si="4"/>
        <v>-0.77948723326029445</v>
      </c>
      <c r="BL45" s="1">
        <f t="shared" si="4"/>
        <v>-0.80943555887120278</v>
      </c>
      <c r="BM45" s="1">
        <f t="shared" si="4"/>
        <v>-0.89356641428966999</v>
      </c>
      <c r="BN45" s="1">
        <f t="shared" si="4"/>
        <v>-0.79500528780471136</v>
      </c>
      <c r="BO45" s="1">
        <f t="shared" si="4"/>
        <v>-0.66261093785500136</v>
      </c>
      <c r="BP45" s="1">
        <f t="shared" si="4"/>
        <v>-0.71655195906838798</v>
      </c>
      <c r="BQ45" s="1">
        <f t="shared" si="4"/>
        <v>-0.53166199734784203</v>
      </c>
      <c r="BR45" s="1">
        <f t="shared" si="4"/>
        <v>-0.47987627564302837</v>
      </c>
      <c r="BS45" s="1">
        <f t="shared" si="4"/>
        <v>-0.3854082592215593</v>
      </c>
      <c r="BT45" s="1">
        <f t="shared" si="4"/>
        <v>-0.45703302087794784</v>
      </c>
      <c r="BU45" s="1">
        <f t="shared" si="4"/>
        <v>-0.30953055892056391</v>
      </c>
      <c r="BV45" s="1">
        <f t="shared" si="4"/>
        <v>-0.23791372516625375</v>
      </c>
      <c r="BW45" s="1">
        <f t="shared" si="4"/>
        <v>-0.36286567162481442</v>
      </c>
      <c r="BX45" s="1">
        <f t="shared" si="4"/>
        <v>-0.21201903493128937</v>
      </c>
      <c r="BY45" s="1">
        <f t="shared" si="4"/>
        <v>-8.2552904625643686E-2</v>
      </c>
      <c r="BZ45" s="1">
        <f t="shared" si="4"/>
        <v>-3.2963045964375937E-3</v>
      </c>
      <c r="CA45" s="1">
        <f t="shared" si="4"/>
        <v>-4.054973267515849E-2</v>
      </c>
      <c r="CB45" s="1">
        <f t="shared" si="4"/>
        <v>4.2214115944231967E-2</v>
      </c>
      <c r="CC45" s="1">
        <f t="shared" si="4"/>
        <v>2.8794036548900559E-2</v>
      </c>
      <c r="CD45" s="1">
        <f t="shared" si="4"/>
        <v>-5.0948552803442348E-2</v>
      </c>
      <c r="CE45" s="1">
        <f t="shared" si="4"/>
        <v>3.8626526179976306E-2</v>
      </c>
      <c r="CF45" s="1">
        <f t="shared" si="4"/>
        <v>1.6951699858219094E-2</v>
      </c>
      <c r="CG45" s="1">
        <f t="shared" si="4"/>
        <v>1.3930751546912923E-2</v>
      </c>
    </row>
    <row r="46" spans="1:85">
      <c r="A46" s="8">
        <v>2006</v>
      </c>
      <c r="B46">
        <v>3693.113805</v>
      </c>
      <c r="C46">
        <v>4489.5527910000001</v>
      </c>
      <c r="D46">
        <v>116699.25566</v>
      </c>
      <c r="E46">
        <v>12778.693805999999</v>
      </c>
      <c r="F46">
        <v>1426.6893130000001</v>
      </c>
      <c r="G46">
        <v>5509.4794430000002</v>
      </c>
      <c r="H46">
        <v>5073.8889719999997</v>
      </c>
      <c r="I46">
        <v>19792.392331999999</v>
      </c>
      <c r="J46">
        <v>11894.108751</v>
      </c>
      <c r="K46">
        <v>972.16411800000003</v>
      </c>
      <c r="M46">
        <f>B46*$N$1/'biomass Atlantis newsimGB'!M46</f>
        <v>3.0142593823688137E-3</v>
      </c>
      <c r="N46">
        <f>C46*$N$1/'biomass Atlantis newsimGB'!N46</f>
        <v>5.8078220326745632E-4</v>
      </c>
      <c r="O46">
        <f>D46*$N$1/'biomass Atlantis newsimGB'!O46</f>
        <v>5.3685234089478992E-2</v>
      </c>
      <c r="P46">
        <f>E46*$N$1/'biomass Atlantis newsimGB'!P46</f>
        <v>1.1674357492063914E-2</v>
      </c>
      <c r="Q46">
        <f>F46*$N$1/'biomass Atlantis newsimGB'!Q46</f>
        <v>2.9540954915160079E-3</v>
      </c>
      <c r="R46">
        <f>G46*$N$1/'biomass Atlantis newsimGB'!R46</f>
        <v>8.2998654153640869E-3</v>
      </c>
      <c r="S46">
        <f>H46*$N$1/'biomass Atlantis newsimGB'!S46</f>
        <v>2.1112045291152428E-2</v>
      </c>
      <c r="T46">
        <f>I46*$N$1/'biomass Atlantis newsimGB'!T46</f>
        <v>5.6372265883260315E-3</v>
      </c>
      <c r="U46">
        <f>J46*$N$1/'biomass Atlantis newsimGB'!U46</f>
        <v>8.4007138853476188E-3</v>
      </c>
      <c r="V46">
        <f>K46*$N$1/'biomass Atlantis newsimGB'!V46</f>
        <v>1.2104450722533638E-3</v>
      </c>
      <c r="X46">
        <f t="shared" si="5"/>
        <v>3693.113805</v>
      </c>
      <c r="Y46">
        <f t="shared" si="5"/>
        <v>4489.5527910000001</v>
      </c>
      <c r="Z46">
        <f t="shared" si="5"/>
        <v>116699.25566</v>
      </c>
      <c r="AA46">
        <f t="shared" si="5"/>
        <v>12778.693805999999</v>
      </c>
      <c r="AB46">
        <f t="shared" si="5"/>
        <v>1426.6893130000001</v>
      </c>
      <c r="AC46">
        <f t="shared" si="5"/>
        <v>5509.4794430000002</v>
      </c>
      <c r="AD46">
        <f t="shared" si="5"/>
        <v>5073.8889719999997</v>
      </c>
      <c r="AE46">
        <f t="shared" si="5"/>
        <v>19792.392331999999</v>
      </c>
      <c r="AF46">
        <f t="shared" si="5"/>
        <v>11894.108751</v>
      </c>
      <c r="AG46">
        <f t="shared" si="5"/>
        <v>972.16411800000003</v>
      </c>
      <c r="AI46" s="1">
        <f t="shared" si="4"/>
        <v>-0.22268455089021222</v>
      </c>
      <c r="AJ46" s="1">
        <f t="shared" si="4"/>
        <v>-0.22041683495712405</v>
      </c>
      <c r="AK46" s="1">
        <f t="shared" si="4"/>
        <v>-0.28226021611898</v>
      </c>
      <c r="AL46" s="1">
        <f t="shared" si="4"/>
        <v>-0.32954982175484693</v>
      </c>
      <c r="AM46" s="1">
        <f t="shared" si="4"/>
        <v>-0.34903989663876978</v>
      </c>
      <c r="AN46" s="1">
        <f t="shared" si="4"/>
        <v>-0.3021664403174924</v>
      </c>
      <c r="AO46" s="1">
        <f t="shared" si="4"/>
        <v>-0.24609352751155944</v>
      </c>
      <c r="AP46" s="1">
        <f t="shared" si="4"/>
        <v>-0.21832931866192151</v>
      </c>
      <c r="AQ46" s="1">
        <f t="shared" si="4"/>
        <v>-0.18871958998422755</v>
      </c>
      <c r="AR46" s="1">
        <f t="shared" si="4"/>
        <v>-0.15979620488374735</v>
      </c>
      <c r="AS46" s="1">
        <f t="shared" si="4"/>
        <v>-0.13725887276307924</v>
      </c>
      <c r="AT46" s="1">
        <f t="shared" si="4"/>
        <v>-0.11557416337090665</v>
      </c>
      <c r="AU46" s="1">
        <f t="shared" si="4"/>
        <v>-8.5016590941216386E-2</v>
      </c>
      <c r="AV46" s="1">
        <f t="shared" si="4"/>
        <v>-5.7457205409681578E-2</v>
      </c>
      <c r="AW46" s="1">
        <f t="shared" si="4"/>
        <v>-2.5964586955169455E-2</v>
      </c>
      <c r="AX46" s="1">
        <f t="shared" si="4"/>
        <v>8.6538280970986925E-3</v>
      </c>
      <c r="AY46" s="1">
        <f t="shared" si="4"/>
        <v>3.2551957513681673E-2</v>
      </c>
      <c r="AZ46" s="1">
        <f t="shared" si="4"/>
        <v>4.2595392604125593E-2</v>
      </c>
      <c r="BA46" s="1">
        <f t="shared" si="4"/>
        <v>4.9530416909423947E-2</v>
      </c>
      <c r="BB46" s="1">
        <f t="shared" si="4"/>
        <v>5.332405710324406E-2</v>
      </c>
      <c r="BC46" s="1">
        <f t="shared" si="4"/>
        <v>6.1165738446299134E-2</v>
      </c>
      <c r="BD46" s="1">
        <f t="shared" si="4"/>
        <v>6.9269081542103761E-2</v>
      </c>
      <c r="BE46" s="1">
        <f t="shared" si="4"/>
        <v>8.0740459196472658E-2</v>
      </c>
      <c r="BF46" s="1">
        <f t="shared" si="4"/>
        <v>9.6063281413595547E-2</v>
      </c>
      <c r="BG46" s="1">
        <f t="shared" si="4"/>
        <v>0.11693881515758986</v>
      </c>
      <c r="BH46" s="1">
        <f t="shared" si="4"/>
        <v>0.12705129358420675</v>
      </c>
      <c r="BI46" s="1">
        <f t="shared" si="4"/>
        <v>0.10658604978374031</v>
      </c>
      <c r="BJ46" s="1">
        <f t="shared" si="4"/>
        <v>9.2104263944649434E-2</v>
      </c>
      <c r="BK46" s="1">
        <f t="shared" si="4"/>
        <v>9.2193057363434638E-2</v>
      </c>
      <c r="BL46" s="1">
        <f t="shared" si="4"/>
        <v>8.6400682250487026E-2</v>
      </c>
      <c r="BM46" s="1">
        <f t="shared" si="4"/>
        <v>8.7035365102376527E-2</v>
      </c>
      <c r="BN46" s="1">
        <f t="shared" si="4"/>
        <v>8.9352045047823569E-2</v>
      </c>
      <c r="BO46" s="1">
        <f t="shared" si="4"/>
        <v>9.2846813057160915E-2</v>
      </c>
      <c r="BP46" s="1">
        <f t="shared" si="4"/>
        <v>9.4834234045421573E-2</v>
      </c>
      <c r="BQ46" s="1">
        <f t="shared" si="4"/>
        <v>9.7207373097227601E-2</v>
      </c>
      <c r="BR46" s="1">
        <f t="shared" si="4"/>
        <v>8.8153039782441267E-2</v>
      </c>
      <c r="BS46" s="1">
        <f t="shared" si="4"/>
        <v>7.5328739154307378E-2</v>
      </c>
      <c r="BT46" s="1">
        <f t="shared" si="4"/>
        <v>6.0636640814958787E-2</v>
      </c>
      <c r="BU46" s="1">
        <f t="shared" si="4"/>
        <v>4.7217018856855031E-2</v>
      </c>
      <c r="BV46" s="1">
        <f t="shared" si="4"/>
        <v>3.4150530855505457E-2</v>
      </c>
      <c r="BW46" s="1">
        <f t="shared" si="4"/>
        <v>3.1659129227920912E-2</v>
      </c>
      <c r="BX46" s="1">
        <f t="shared" si="4"/>
        <v>3.1478560130980604E-2</v>
      </c>
      <c r="BY46" s="1">
        <f t="shared" si="4"/>
        <v>2.6470099806518155E-2</v>
      </c>
      <c r="BZ46" s="1">
        <f t="shared" si="4"/>
        <v>2.1105187689141713E-2</v>
      </c>
      <c r="CA46" s="1">
        <f t="shared" si="4"/>
        <v>1.3163667902438725E-2</v>
      </c>
      <c r="CB46" s="1">
        <f t="shared" si="4"/>
        <v>7.811313861293856E-3</v>
      </c>
      <c r="CC46" s="1">
        <f t="shared" si="4"/>
        <v>1.1297744513245611E-2</v>
      </c>
      <c r="CD46" s="1">
        <f t="shared" si="4"/>
        <v>1.4771673225556059E-2</v>
      </c>
      <c r="CE46" s="1">
        <f t="shared" si="4"/>
        <v>1.1703969370961964E-2</v>
      </c>
      <c r="CF46" s="1">
        <f t="shared" si="4"/>
        <v>5.0517694606770913E-3</v>
      </c>
      <c r="CG46" s="1">
        <f t="shared" si="4"/>
        <v>4.1665894854960861E-3</v>
      </c>
    </row>
    <row r="47" spans="1:85">
      <c r="A47" s="8">
        <v>2007</v>
      </c>
      <c r="B47">
        <v>4137.1734020000004</v>
      </c>
      <c r="C47">
        <v>4382.6153670000003</v>
      </c>
      <c r="D47">
        <v>116302.531522</v>
      </c>
      <c r="E47">
        <v>12958.047313999999</v>
      </c>
      <c r="F47">
        <v>1554.1019920000001</v>
      </c>
      <c r="G47">
        <v>5538.4265889999997</v>
      </c>
      <c r="H47">
        <v>4970.5538130000004</v>
      </c>
      <c r="I47">
        <v>26234.769432000001</v>
      </c>
      <c r="J47">
        <v>12486.881642</v>
      </c>
      <c r="K47">
        <v>1058.6032600000001</v>
      </c>
      <c r="M47">
        <f>B47*$N$1/'biomass Atlantis newsimGB'!M47</f>
        <v>3.459951880446426E-3</v>
      </c>
      <c r="N47">
        <f>C47*$N$1/'biomass Atlantis newsimGB'!N47</f>
        <v>5.7115443401568259E-4</v>
      </c>
      <c r="O47">
        <f>D47*$N$1/'biomass Atlantis newsimGB'!O47</f>
        <v>6.4433459719777555E-2</v>
      </c>
      <c r="P47">
        <f>E47*$N$1/'biomass Atlantis newsimGB'!P47</f>
        <v>1.1531029309363115E-2</v>
      </c>
      <c r="Q47">
        <f>F47*$N$1/'biomass Atlantis newsimGB'!Q47</f>
        <v>2.8881334936057736E-3</v>
      </c>
      <c r="R47">
        <f>G47*$N$1/'biomass Atlantis newsimGB'!R47</f>
        <v>8.0376561550025219E-3</v>
      </c>
      <c r="S47">
        <f>H47*$N$1/'biomass Atlantis newsimGB'!S47</f>
        <v>2.0381776013568373E-2</v>
      </c>
      <c r="T47">
        <f>I47*$N$1/'biomass Atlantis newsimGB'!T47</f>
        <v>9.9463040544695795E-3</v>
      </c>
      <c r="U47">
        <f>J47*$N$1/'biomass Atlantis newsimGB'!U47</f>
        <v>8.4507575718815245E-3</v>
      </c>
      <c r="V47">
        <f>K47*$N$1/'biomass Atlantis newsimGB'!V47</f>
        <v>1.315458340012501E-3</v>
      </c>
      <c r="X47">
        <f t="shared" si="5"/>
        <v>4137.1734020000004</v>
      </c>
      <c r="Y47">
        <f t="shared" si="5"/>
        <v>4382.6153670000003</v>
      </c>
      <c r="Z47">
        <f t="shared" si="5"/>
        <v>116302.531522</v>
      </c>
      <c r="AA47">
        <f t="shared" si="5"/>
        <v>12958.047313999999</v>
      </c>
      <c r="AB47">
        <f t="shared" si="5"/>
        <v>1554.1019920000001</v>
      </c>
      <c r="AC47">
        <f t="shared" si="5"/>
        <v>5538.4265889999997</v>
      </c>
      <c r="AD47">
        <f t="shared" si="5"/>
        <v>4970.5538130000004</v>
      </c>
      <c r="AE47">
        <f t="shared" si="5"/>
        <v>26234.769432000001</v>
      </c>
      <c r="AF47">
        <f t="shared" si="5"/>
        <v>12486.881642</v>
      </c>
      <c r="AG47">
        <f t="shared" si="5"/>
        <v>1058.6032600000001</v>
      </c>
      <c r="AI47" s="1">
        <f t="shared" si="4"/>
        <v>6.0117851816300139E-2</v>
      </c>
      <c r="AJ47" s="1">
        <f t="shared" si="4"/>
        <v>0.32636783529464308</v>
      </c>
      <c r="AK47" s="1">
        <f t="shared" si="4"/>
        <v>8.1624446446119325E-2</v>
      </c>
      <c r="AL47" s="1">
        <f t="shared" si="4"/>
        <v>-3.9525165883394831E-2</v>
      </c>
      <c r="AM47" s="1">
        <f t="shared" si="4"/>
        <v>-0.11000429361210928</v>
      </c>
      <c r="AN47" s="1">
        <f t="shared" si="4"/>
        <v>-0.15223828136893092</v>
      </c>
      <c r="AO47" s="1">
        <f t="shared" si="4"/>
        <v>-0.1754606473713709</v>
      </c>
      <c r="AP47" s="1">
        <f t="shared" si="4"/>
        <v>-0.18375007188906656</v>
      </c>
      <c r="AQ47" s="1">
        <f t="shared" si="4"/>
        <v>-0.18804361968661931</v>
      </c>
      <c r="AR47" s="1">
        <f t="shared" si="4"/>
        <v>-0.187672126359824</v>
      </c>
      <c r="AS47" s="1">
        <f t="shared" si="4"/>
        <v>-0.17990227726265573</v>
      </c>
      <c r="AT47" s="1">
        <f t="shared" si="4"/>
        <v>-0.17215733022734092</v>
      </c>
      <c r="AU47" s="1">
        <f t="shared" si="4"/>
        <v>-0.13751923841379332</v>
      </c>
      <c r="AV47" s="1">
        <f t="shared" si="4"/>
        <v>-0.11815618520903071</v>
      </c>
      <c r="AW47" s="1">
        <f t="shared" si="4"/>
        <v>-9.4510499535398029E-2</v>
      </c>
      <c r="AX47" s="1">
        <f t="shared" si="4"/>
        <v>-6.1268858433905393E-2</v>
      </c>
      <c r="AY47" s="1">
        <f t="shared" si="4"/>
        <v>-5.2952574695407595E-2</v>
      </c>
      <c r="AZ47" s="1">
        <f t="shared" si="4"/>
        <v>-3.6756608009209657E-2</v>
      </c>
      <c r="BA47" s="1">
        <f t="shared" si="4"/>
        <v>-8.5359814278405111E-3</v>
      </c>
      <c r="BB47" s="1">
        <f t="shared" si="4"/>
        <v>2.2609029107522716E-2</v>
      </c>
      <c r="BC47" s="1">
        <f t="shared" si="4"/>
        <v>6.4260218577295802E-2</v>
      </c>
      <c r="BD47" s="1">
        <f t="shared" si="4"/>
        <v>5.9898643797604567E-2</v>
      </c>
      <c r="BE47" s="1">
        <f t="shared" si="4"/>
        <v>0.10325237188797276</v>
      </c>
      <c r="BF47" s="1">
        <f t="shared" si="4"/>
        <v>0.10551139737449011</v>
      </c>
      <c r="BG47" s="1">
        <f t="shared" si="4"/>
        <v>0.13901830980477614</v>
      </c>
      <c r="BH47" s="1">
        <f t="shared" si="4"/>
        <v>0.15987301883105332</v>
      </c>
      <c r="BI47" s="1">
        <f t="shared" si="4"/>
        <v>7.6189286245432086E-2</v>
      </c>
      <c r="BJ47" s="1">
        <f t="shared" si="4"/>
        <v>3.6237618271646621E-2</v>
      </c>
      <c r="BK47" s="1">
        <f t="shared" si="4"/>
        <v>3.5838608971167751E-2</v>
      </c>
      <c r="BL47" s="1">
        <f t="shared" si="4"/>
        <v>5.2305423123284456E-2</v>
      </c>
      <c r="BM47" s="1">
        <f t="shared" si="4"/>
        <v>7.3939635536284243E-2</v>
      </c>
      <c r="BN47" s="1">
        <f t="shared" si="4"/>
        <v>5.9643169530264828E-2</v>
      </c>
      <c r="BO47" s="1">
        <f t="shared" si="4"/>
        <v>6.6600369269320225E-2</v>
      </c>
      <c r="BP47" s="1">
        <f t="shared" si="4"/>
        <v>5.1669896804562132E-2</v>
      </c>
      <c r="BQ47" s="1">
        <f t="shared" si="4"/>
        <v>9.360612863613893E-2</v>
      </c>
      <c r="BR47" s="1">
        <f t="shared" si="4"/>
        <v>6.3377834170757819E-2</v>
      </c>
      <c r="BS47" s="1">
        <f t="shared" si="4"/>
        <v>5.7456734140418408E-2</v>
      </c>
      <c r="BT47" s="1">
        <f t="shared" si="4"/>
        <v>-2.512700946341706E-3</v>
      </c>
      <c r="BU47" s="1">
        <f t="shared" si="4"/>
        <v>-7.532244424233614E-3</v>
      </c>
      <c r="BV47" s="1">
        <f t="shared" si="4"/>
        <v>-4.6184785192267874E-2</v>
      </c>
      <c r="BW47" s="1">
        <f t="shared" si="4"/>
        <v>-4.7885996594533076E-2</v>
      </c>
      <c r="BX47" s="1">
        <f t="shared" si="4"/>
        <v>-2.0021909508769919E-2</v>
      </c>
      <c r="BY47" s="1">
        <f t="shared" si="4"/>
        <v>-3.4009543606666082E-2</v>
      </c>
      <c r="BZ47" s="1">
        <f t="shared" si="4"/>
        <v>-4.3816810369025738E-2</v>
      </c>
      <c r="CA47" s="1">
        <f t="shared" si="4"/>
        <v>-4.5511343716974739E-2</v>
      </c>
      <c r="CB47" s="1">
        <f t="shared" si="4"/>
        <v>-5.4498155065235032E-2</v>
      </c>
      <c r="CC47" s="1">
        <f t="shared" si="4"/>
        <v>-6.5039293730674075E-2</v>
      </c>
      <c r="CD47" s="1">
        <f t="shared" si="4"/>
        <v>-2.3464329659639294E-2</v>
      </c>
      <c r="CE47" s="1">
        <f t="shared" si="4"/>
        <v>-3.0281418917083691E-2</v>
      </c>
      <c r="CF47" s="1">
        <f t="shared" si="4"/>
        <v>-6.3453088150403403E-2</v>
      </c>
      <c r="CG47" s="1">
        <f t="shared" si="4"/>
        <v>-4.430159201673245E-2</v>
      </c>
    </row>
    <row r="48" spans="1:85">
      <c r="A48" s="8">
        <v>2008</v>
      </c>
      <c r="B48">
        <v>4343.8838770000002</v>
      </c>
      <c r="C48">
        <v>4249.1755389999998</v>
      </c>
      <c r="D48">
        <v>102456.47575899999</v>
      </c>
      <c r="E48">
        <v>13115.519432999999</v>
      </c>
      <c r="F48">
        <v>1710.018202</v>
      </c>
      <c r="G48">
        <v>5680.8298809999997</v>
      </c>
      <c r="H48">
        <v>4941.2764569999999</v>
      </c>
      <c r="I48">
        <v>21320.057102999999</v>
      </c>
      <c r="J48">
        <v>12625.281376999999</v>
      </c>
      <c r="K48">
        <v>1146.1476720000001</v>
      </c>
      <c r="M48">
        <f>B48*$N$1/'biomass Atlantis newsimGB'!M48</f>
        <v>3.7181196285777387E-3</v>
      </c>
      <c r="N48">
        <f>C48*$N$1/'biomass Atlantis newsimGB'!N48</f>
        <v>5.5326258797678608E-4</v>
      </c>
      <c r="O48">
        <f>D48*$N$1/'biomass Atlantis newsimGB'!O48</f>
        <v>5.9136827606730787E-2</v>
      </c>
      <c r="P48">
        <f>E48*$N$1/'biomass Atlantis newsimGB'!P48</f>
        <v>1.1322088786149653E-2</v>
      </c>
      <c r="Q48">
        <f>F48*$N$1/'biomass Atlantis newsimGB'!Q48</f>
        <v>2.8768865095197835E-3</v>
      </c>
      <c r="R48">
        <f>G48*$N$1/'biomass Atlantis newsimGB'!R48</f>
        <v>7.923817409644162E-3</v>
      </c>
      <c r="S48">
        <f>H48*$N$1/'biomass Atlantis newsimGB'!S48</f>
        <v>1.9904496153895314E-2</v>
      </c>
      <c r="T48">
        <f>I48*$N$1/'biomass Atlantis newsimGB'!T48</f>
        <v>6.3059507644168383E-3</v>
      </c>
      <c r="U48">
        <f>J48*$N$1/'biomass Atlantis newsimGB'!U48</f>
        <v>8.308784658870293E-3</v>
      </c>
      <c r="V48">
        <f>K48*$N$1/'biomass Atlantis newsimGB'!V48</f>
        <v>1.4388085187579636E-3</v>
      </c>
      <c r="X48">
        <f t="shared" si="5"/>
        <v>4343.8838770000002</v>
      </c>
      <c r="Y48">
        <f t="shared" si="5"/>
        <v>4249.1755389999998</v>
      </c>
      <c r="Z48">
        <f t="shared" si="5"/>
        <v>102456.47575899999</v>
      </c>
      <c r="AA48">
        <f t="shared" si="5"/>
        <v>13115.519432999999</v>
      </c>
      <c r="AB48">
        <f t="shared" si="5"/>
        <v>1710.018202</v>
      </c>
      <c r="AC48">
        <f t="shared" si="5"/>
        <v>5680.8298809999997</v>
      </c>
      <c r="AD48">
        <f t="shared" si="5"/>
        <v>4941.2764569999999</v>
      </c>
      <c r="AE48">
        <f t="shared" si="5"/>
        <v>21320.057102999999</v>
      </c>
      <c r="AF48">
        <f t="shared" si="5"/>
        <v>12625.281376999999</v>
      </c>
      <c r="AG48">
        <f t="shared" si="5"/>
        <v>1146.1476720000001</v>
      </c>
      <c r="AI48" s="1">
        <f t="shared" ref="AI48:CG51" si="6">LOG10(AI22)-$AK36</f>
        <v>-0.32825512219762132</v>
      </c>
      <c r="AJ48" s="1">
        <f t="shared" si="6"/>
        <v>-0.18935920710081566</v>
      </c>
      <c r="AK48" s="1">
        <f t="shared" si="6"/>
        <v>-0.35663513402562641</v>
      </c>
      <c r="AL48" s="1">
        <f t="shared" si="6"/>
        <v>-0.36814129343784341</v>
      </c>
      <c r="AM48" s="1">
        <f t="shared" si="6"/>
        <v>-0.3644446065409177</v>
      </c>
      <c r="AN48" s="1">
        <f t="shared" si="6"/>
        <v>-0.36242337536602154</v>
      </c>
      <c r="AO48" s="1">
        <f t="shared" si="6"/>
        <v>-0.3397322117283994</v>
      </c>
      <c r="AP48" s="1">
        <f t="shared" si="6"/>
        <v>-0.31351339697030545</v>
      </c>
      <c r="AQ48" s="1">
        <f t="shared" si="6"/>
        <v>-0.2815660528348185</v>
      </c>
      <c r="AR48" s="1">
        <f t="shared" si="6"/>
        <v>-0.25338199438269138</v>
      </c>
      <c r="AS48" s="1">
        <f t="shared" si="6"/>
        <v>-0.2166807885395472</v>
      </c>
      <c r="AT48" s="1">
        <f t="shared" si="6"/>
        <v>-0.18779391417669977</v>
      </c>
      <c r="AU48" s="1">
        <f t="shared" si="6"/>
        <v>-0.16065015892676815</v>
      </c>
      <c r="AV48" s="1">
        <f t="shared" si="6"/>
        <v>-0.13700072479609693</v>
      </c>
      <c r="AW48" s="1">
        <f t="shared" si="6"/>
        <v>-9.9245176282027892E-2</v>
      </c>
      <c r="AX48" s="1">
        <f t="shared" si="6"/>
        <v>-5.9106329298079796E-2</v>
      </c>
      <c r="AY48" s="1">
        <f t="shared" si="6"/>
        <v>-1.7645517758442253E-2</v>
      </c>
      <c r="AZ48" s="1">
        <f t="shared" si="6"/>
        <v>2.9228084976904434E-3</v>
      </c>
      <c r="BA48" s="1">
        <f t="shared" si="6"/>
        <v>2.52922270465743E-2</v>
      </c>
      <c r="BB48" s="1">
        <f t="shared" si="6"/>
        <v>6.0801440448855715E-2</v>
      </c>
      <c r="BC48" s="1">
        <f t="shared" si="6"/>
        <v>8.5497956407337927E-2</v>
      </c>
      <c r="BD48" s="1">
        <f t="shared" si="6"/>
        <v>0.11824805741687205</v>
      </c>
      <c r="BE48" s="1">
        <f t="shared" si="6"/>
        <v>0.12947136550619032</v>
      </c>
      <c r="BF48" s="1">
        <f t="shared" si="6"/>
        <v>0.15610469413871741</v>
      </c>
      <c r="BG48" s="1">
        <f t="shared" si="6"/>
        <v>0.16572571814611581</v>
      </c>
      <c r="BH48" s="1">
        <f t="shared" si="6"/>
        <v>0.17361804403825976</v>
      </c>
      <c r="BI48" s="1">
        <f t="shared" si="6"/>
        <v>7.2738031674917547E-2</v>
      </c>
      <c r="BJ48" s="1">
        <f t="shared" si="6"/>
        <v>6.2754780911570496E-2</v>
      </c>
      <c r="BK48" s="1">
        <f t="shared" si="6"/>
        <v>0.11681633829457994</v>
      </c>
      <c r="BL48" s="1">
        <f t="shared" si="6"/>
        <v>0.13087688543376519</v>
      </c>
      <c r="BM48" s="1">
        <f t="shared" si="6"/>
        <v>7.1994086607484409E-2</v>
      </c>
      <c r="BN48" s="1">
        <f t="shared" si="6"/>
        <v>8.1353768933902781E-2</v>
      </c>
      <c r="BO48" s="1">
        <f t="shared" si="6"/>
        <v>0.15104414453305259</v>
      </c>
      <c r="BP48" s="1">
        <f t="shared" si="6"/>
        <v>0.11397155770450418</v>
      </c>
      <c r="BQ48" s="1">
        <f t="shared" si="6"/>
        <v>0.10328296790607494</v>
      </c>
      <c r="BR48" s="1">
        <f t="shared" si="6"/>
        <v>0.11059987335139176</v>
      </c>
      <c r="BS48" s="1">
        <f t="shared" si="6"/>
        <v>6.2819496817437592E-2</v>
      </c>
      <c r="BT48" s="1">
        <f t="shared" si="6"/>
        <v>4.9559200436313677E-2</v>
      </c>
      <c r="BU48" s="1">
        <f t="shared" si="6"/>
        <v>3.2019798676024891E-2</v>
      </c>
      <c r="BV48" s="1">
        <f t="shared" si="6"/>
        <v>2.5211195287308197E-2</v>
      </c>
      <c r="BW48" s="1">
        <f t="shared" si="6"/>
        <v>6.2769566874054217E-2</v>
      </c>
      <c r="BX48" s="1">
        <f t="shared" si="6"/>
        <v>7.71184022605933E-2</v>
      </c>
      <c r="BY48" s="1">
        <f t="shared" si="6"/>
        <v>6.7551810975368998E-2</v>
      </c>
      <c r="BZ48" s="1">
        <f t="shared" si="6"/>
        <v>5.3610184204553324E-2</v>
      </c>
      <c r="CA48" s="1">
        <f t="shared" si="6"/>
        <v>4.7415220182219997E-2</v>
      </c>
      <c r="CB48" s="1">
        <f t="shared" si="6"/>
        <v>3.817860698606923E-2</v>
      </c>
      <c r="CC48" s="1">
        <f t="shared" si="6"/>
        <v>3.0944835298230888E-2</v>
      </c>
      <c r="CD48" s="1">
        <f t="shared" si="6"/>
        <v>4.2901846748560679E-2</v>
      </c>
      <c r="CE48" s="1">
        <f t="shared" si="6"/>
        <v>3.7175717236285877E-2</v>
      </c>
      <c r="CF48" s="1">
        <f t="shared" si="6"/>
        <v>2.3988552043433753E-2</v>
      </c>
      <c r="CG48" s="1">
        <f t="shared" si="6"/>
        <v>3.5168045050388397E-2</v>
      </c>
    </row>
    <row r="49" spans="1:85">
      <c r="A49" s="8">
        <v>2009</v>
      </c>
      <c r="B49">
        <v>4059.6357630000002</v>
      </c>
      <c r="C49">
        <v>4194.1053629999997</v>
      </c>
      <c r="D49">
        <v>104221.456893</v>
      </c>
      <c r="E49">
        <v>13560.16453</v>
      </c>
      <c r="F49">
        <v>1844.2800070000001</v>
      </c>
      <c r="G49">
        <v>5758.0399719999996</v>
      </c>
      <c r="H49">
        <v>5038.8520330000001</v>
      </c>
      <c r="I49">
        <v>23413.334986000002</v>
      </c>
      <c r="J49">
        <v>12907.683214000001</v>
      </c>
      <c r="K49">
        <v>1115.805241</v>
      </c>
      <c r="M49">
        <f>B49*$N$1/'biomass Atlantis newsimGB'!M49</f>
        <v>3.5459768179538949E-3</v>
      </c>
      <c r="N49">
        <f>C49*$N$1/'biomass Atlantis newsimGB'!N49</f>
        <v>5.4726809779845537E-4</v>
      </c>
      <c r="O49">
        <f>D49*$N$1/'biomass Atlantis newsimGB'!O49</f>
        <v>7.1552015517602804E-2</v>
      </c>
      <c r="P49">
        <f>E49*$N$1/'biomass Atlantis newsimGB'!P49</f>
        <v>1.118340884480269E-2</v>
      </c>
      <c r="Q49">
        <f>F49*$N$1/'biomass Atlantis newsimGB'!Q49</f>
        <v>2.8179670999375051E-3</v>
      </c>
      <c r="R49">
        <f>G49*$N$1/'biomass Atlantis newsimGB'!R49</f>
        <v>7.7570724236208947E-3</v>
      </c>
      <c r="S49">
        <f>H49*$N$1/'biomass Atlantis newsimGB'!S49</f>
        <v>2.059068746273901E-2</v>
      </c>
      <c r="T49">
        <f>I49*$N$1/'biomass Atlantis newsimGB'!T49</f>
        <v>5.9110869484010724E-3</v>
      </c>
      <c r="U49">
        <f>J49*$N$1/'biomass Atlantis newsimGB'!U49</f>
        <v>7.9603595533751272E-3</v>
      </c>
      <c r="V49">
        <f>K49*$N$1/'biomass Atlantis newsimGB'!V49</f>
        <v>1.3966472624815844E-3</v>
      </c>
      <c r="X49">
        <f t="shared" si="5"/>
        <v>4059.6357630000002</v>
      </c>
      <c r="Y49">
        <f t="shared" si="5"/>
        <v>4194.1053629999997</v>
      </c>
      <c r="Z49">
        <f t="shared" si="5"/>
        <v>104221.456893</v>
      </c>
      <c r="AA49">
        <f t="shared" si="5"/>
        <v>13560.16453</v>
      </c>
      <c r="AB49">
        <f t="shared" si="5"/>
        <v>1844.2800070000001</v>
      </c>
      <c r="AC49">
        <f t="shared" si="5"/>
        <v>5758.0399719999996</v>
      </c>
      <c r="AD49">
        <f t="shared" si="5"/>
        <v>5038.8520330000001</v>
      </c>
      <c r="AE49">
        <f t="shared" si="5"/>
        <v>23413.334986000002</v>
      </c>
      <c r="AF49">
        <f t="shared" si="5"/>
        <v>12907.683214000001</v>
      </c>
      <c r="AG49">
        <f t="shared" si="5"/>
        <v>1115.805241</v>
      </c>
      <c r="AI49" s="1">
        <f t="shared" si="6"/>
        <v>-1.8139201867006793E-3</v>
      </c>
      <c r="AJ49" s="1">
        <f t="shared" si="6"/>
        <v>-2.0131954871274171E-2</v>
      </c>
      <c r="AK49" s="1">
        <f t="shared" si="6"/>
        <v>-0.16357944125209078</v>
      </c>
      <c r="AL49" s="1">
        <f t="shared" si="6"/>
        <v>-0.24875911846744003</v>
      </c>
      <c r="AM49" s="1">
        <f t="shared" si="6"/>
        <v>-0.28012284336479532</v>
      </c>
      <c r="AN49" s="1">
        <f t="shared" si="6"/>
        <v>-0.30648857110125771</v>
      </c>
      <c r="AO49" s="1">
        <f t="shared" si="6"/>
        <v>-0.28793155895523892</v>
      </c>
      <c r="AP49" s="1">
        <f t="shared" si="6"/>
        <v>-0.29541499513273806</v>
      </c>
      <c r="AQ49" s="1">
        <f t="shared" si="6"/>
        <v>-0.27371332285363392</v>
      </c>
      <c r="AR49" s="1">
        <f t="shared" si="6"/>
        <v>-0.25817294255745904</v>
      </c>
      <c r="AS49" s="1">
        <f t="shared" si="6"/>
        <v>-0.23885857892033879</v>
      </c>
      <c r="AT49" s="1">
        <f t="shared" si="6"/>
        <v>-0.22175400760155251</v>
      </c>
      <c r="AU49" s="1">
        <f t="shared" si="6"/>
        <v>-0.18644627239397371</v>
      </c>
      <c r="AV49" s="1">
        <f t="shared" si="6"/>
        <v>-0.15413364902026516</v>
      </c>
      <c r="AW49" s="1">
        <f t="shared" si="6"/>
        <v>-0.11870055814148017</v>
      </c>
      <c r="AX49" s="1">
        <f t="shared" si="6"/>
        <v>-0.10372055555405391</v>
      </c>
      <c r="AY49" s="1">
        <f t="shared" si="6"/>
        <v>-8.9707466266248259E-2</v>
      </c>
      <c r="AZ49" s="1">
        <f t="shared" si="6"/>
        <v>-1.6558530925374404E-2</v>
      </c>
      <c r="BA49" s="1">
        <f t="shared" si="6"/>
        <v>-1.9562981568649107E-2</v>
      </c>
      <c r="BB49" s="1">
        <f t="shared" si="6"/>
        <v>-2.5247626960611669E-2</v>
      </c>
      <c r="BC49" s="1">
        <f t="shared" si="6"/>
        <v>5.2213744466533818E-3</v>
      </c>
      <c r="BD49" s="1">
        <f t="shared" si="6"/>
        <v>7.5824672383496106E-2</v>
      </c>
      <c r="BE49" s="1">
        <f t="shared" si="6"/>
        <v>8.2773878099197784E-2</v>
      </c>
      <c r="BF49" s="1">
        <f t="shared" si="6"/>
        <v>8.1962732519466064E-2</v>
      </c>
      <c r="BG49" s="1">
        <f t="shared" si="6"/>
        <v>0.11887911521693373</v>
      </c>
      <c r="BH49" s="1">
        <f t="shared" si="6"/>
        <v>0.15193679037347541</v>
      </c>
      <c r="BI49" s="1">
        <f t="shared" si="6"/>
        <v>7.7384719993181195E-2</v>
      </c>
      <c r="BJ49" s="1">
        <f t="shared" si="6"/>
        <v>6.3473109114750681E-2</v>
      </c>
      <c r="BK49" s="1">
        <f t="shared" si="6"/>
        <v>0.16111855609039805</v>
      </c>
      <c r="BL49" s="1">
        <f t="shared" si="6"/>
        <v>0.11913621586824097</v>
      </c>
      <c r="BM49" s="1">
        <f t="shared" si="6"/>
        <v>0.13359501705546362</v>
      </c>
      <c r="BN49" s="1">
        <f t="shared" si="6"/>
        <v>0.12310388396709926</v>
      </c>
      <c r="BO49" s="1">
        <f t="shared" si="6"/>
        <v>0.14074209128126225</v>
      </c>
      <c r="BP49" s="1">
        <f t="shared" si="6"/>
        <v>6.4189297561635161E-2</v>
      </c>
      <c r="BQ49" s="1">
        <f t="shared" si="6"/>
        <v>0.14469629421555474</v>
      </c>
      <c r="BR49" s="1">
        <f t="shared" si="6"/>
        <v>0.11148889383130856</v>
      </c>
      <c r="BS49" s="1">
        <f t="shared" si="6"/>
        <v>0.13385641467814624</v>
      </c>
      <c r="BT49" s="1">
        <f t="shared" si="6"/>
        <v>0.10054345390990305</v>
      </c>
      <c r="BU49" s="1">
        <f t="shared" si="6"/>
        <v>6.9246410270163761E-2</v>
      </c>
      <c r="BV49" s="1">
        <f t="shared" si="6"/>
        <v>4.9479313404027225E-2</v>
      </c>
      <c r="BW49" s="1">
        <f t="shared" si="6"/>
        <v>6.7126153208918904E-2</v>
      </c>
      <c r="BX49" s="1">
        <f t="shared" si="6"/>
        <v>-5.8479686908352591E-4</v>
      </c>
      <c r="BY49" s="1">
        <f t="shared" si="6"/>
        <v>4.6778199885178395E-2</v>
      </c>
      <c r="BZ49" s="1">
        <f t="shared" si="6"/>
        <v>3.1489915572318727E-2</v>
      </c>
      <c r="CA49" s="1">
        <f t="shared" si="6"/>
        <v>2.1199079675521926E-2</v>
      </c>
      <c r="CB49" s="1">
        <f t="shared" si="6"/>
        <v>3.591873767157816E-2</v>
      </c>
      <c r="CC49" s="1">
        <f t="shared" si="6"/>
        <v>1.2242163023095998E-2</v>
      </c>
      <c r="CD49" s="1">
        <f t="shared" si="6"/>
        <v>2.0056896214893705E-2</v>
      </c>
      <c r="CE49" s="1">
        <f t="shared" si="6"/>
        <v>1.6654365230649892E-2</v>
      </c>
      <c r="CF49" s="1">
        <f t="shared" si="6"/>
        <v>9.8184218361394571E-3</v>
      </c>
      <c r="CG49" s="1">
        <f t="shared" si="6"/>
        <v>-5.061390034156954E-3</v>
      </c>
    </row>
    <row r="50" spans="1:85">
      <c r="A50" s="8">
        <v>2010</v>
      </c>
      <c r="B50">
        <v>3797.9764169999999</v>
      </c>
      <c r="C50">
        <v>4149.3931419999999</v>
      </c>
      <c r="D50">
        <v>90076.083413</v>
      </c>
      <c r="E50">
        <v>14138.974921000001</v>
      </c>
      <c r="F50">
        <v>1963.6064510000001</v>
      </c>
      <c r="G50">
        <v>5862.0549220000003</v>
      </c>
      <c r="H50">
        <v>4916.2596400000002</v>
      </c>
      <c r="I50">
        <v>31482.365052000001</v>
      </c>
      <c r="J50">
        <v>13128.351051</v>
      </c>
      <c r="K50">
        <v>1104.25407</v>
      </c>
      <c r="M50">
        <f>B50*$N$1/'biomass Atlantis newsimGB'!M50</f>
        <v>3.3806722802376672E-3</v>
      </c>
      <c r="N50">
        <f>C50*$N$1/'biomass Atlantis newsimGB'!N50</f>
        <v>5.4315650480316557E-4</v>
      </c>
      <c r="O50">
        <f>D50*$N$1/'biomass Atlantis newsimGB'!O50</f>
        <v>6.937480770214291E-2</v>
      </c>
      <c r="P50">
        <f>E50*$N$1/'biomass Atlantis newsimGB'!P50</f>
        <v>1.1273548377765548E-2</v>
      </c>
      <c r="Q50">
        <f>F50*$N$1/'biomass Atlantis newsimGB'!Q50</f>
        <v>2.7503931626205861E-3</v>
      </c>
      <c r="R50">
        <f>G50*$N$1/'biomass Atlantis newsimGB'!R50</f>
        <v>7.6289378090486498E-3</v>
      </c>
      <c r="S50">
        <f>H50*$N$1/'biomass Atlantis newsimGB'!S50</f>
        <v>1.9498188831673521E-2</v>
      </c>
      <c r="T50">
        <f>I50*$N$1/'biomass Atlantis newsimGB'!T50</f>
        <v>6.9132197748036596E-3</v>
      </c>
      <c r="U50">
        <f>J50*$N$1/'biomass Atlantis newsimGB'!U50</f>
        <v>7.7110835350918932E-3</v>
      </c>
      <c r="V50">
        <f>K50*$N$1/'biomass Atlantis newsimGB'!V50</f>
        <v>1.3889769909278156E-3</v>
      </c>
      <c r="X50">
        <f t="shared" si="5"/>
        <v>3797.9764169999999</v>
      </c>
      <c r="Y50">
        <f t="shared" si="5"/>
        <v>4149.3931419999999</v>
      </c>
      <c r="Z50">
        <f t="shared" si="5"/>
        <v>90076.083413</v>
      </c>
      <c r="AA50">
        <f t="shared" si="5"/>
        <v>14138.974921000001</v>
      </c>
      <c r="AB50">
        <f t="shared" si="5"/>
        <v>1963.6064510000001</v>
      </c>
      <c r="AC50">
        <f t="shared" si="5"/>
        <v>5862.0549220000003</v>
      </c>
      <c r="AD50">
        <f t="shared" si="5"/>
        <v>4916.2596400000002</v>
      </c>
      <c r="AE50">
        <f t="shared" si="5"/>
        <v>31482.365052000001</v>
      </c>
      <c r="AF50">
        <f t="shared" si="5"/>
        <v>13128.351051</v>
      </c>
      <c r="AG50">
        <f t="shared" si="5"/>
        <v>1104.25407</v>
      </c>
      <c r="AI50" s="1">
        <f t="shared" si="6"/>
        <v>0.24957978286280591</v>
      </c>
      <c r="AJ50" s="1">
        <f t="shared" si="6"/>
        <v>0.15444915338815268</v>
      </c>
      <c r="AK50" s="1">
        <f t="shared" si="6"/>
        <v>0.23585027166252925</v>
      </c>
      <c r="AL50" s="1">
        <f t="shared" si="6"/>
        <v>0.19184031128419954</v>
      </c>
      <c r="AM50" s="1">
        <f t="shared" si="6"/>
        <v>0.20739304475418718</v>
      </c>
      <c r="AN50" s="1">
        <f t="shared" si="6"/>
        <v>0.34260704507820905</v>
      </c>
      <c r="AO50" s="1">
        <f t="shared" si="6"/>
        <v>0.47324701523372736</v>
      </c>
      <c r="AP50" s="1">
        <f t="shared" si="6"/>
        <v>0.44432008046709504</v>
      </c>
      <c r="AQ50" s="1">
        <f t="shared" si="6"/>
        <v>0.46609066505450336</v>
      </c>
      <c r="AR50" s="1">
        <f t="shared" si="6"/>
        <v>0.50515793170915302</v>
      </c>
      <c r="AS50" s="1">
        <f t="shared" si="6"/>
        <v>0.53927108131443369</v>
      </c>
      <c r="AT50" s="1">
        <f t="shared" si="6"/>
        <v>0.74352600457039497</v>
      </c>
      <c r="AU50" s="1">
        <f t="shared" si="6"/>
        <v>0.90092750116697573</v>
      </c>
      <c r="AV50" s="1">
        <f t="shared" si="6"/>
        <v>0.8719677133834639</v>
      </c>
      <c r="AW50" s="1">
        <f t="shared" si="6"/>
        <v>-1.6509708230751701</v>
      </c>
      <c r="AX50" s="1">
        <f t="shared" si="6"/>
        <v>-1.7773217063472802</v>
      </c>
      <c r="AY50" s="1">
        <f t="shared" si="6"/>
        <v>-1.5965808613296828</v>
      </c>
      <c r="AZ50" s="1">
        <f t="shared" si="6"/>
        <v>-1.5390721978031923</v>
      </c>
      <c r="BA50" s="1">
        <f t="shared" si="6"/>
        <v>-1.7048594863352944</v>
      </c>
      <c r="BB50" s="1">
        <f t="shared" si="6"/>
        <v>-1.8555514042847256</v>
      </c>
      <c r="BC50" s="1">
        <f t="shared" si="6"/>
        <v>-1.7210961574573853</v>
      </c>
      <c r="BD50" s="1">
        <f t="shared" si="6"/>
        <v>-1.5283481207906469</v>
      </c>
      <c r="BE50" s="1">
        <f t="shared" si="6"/>
        <v>-1.6619608197099207</v>
      </c>
      <c r="BF50" s="1">
        <f t="shared" si="6"/>
        <v>-1.3070174296348356</v>
      </c>
      <c r="BG50" s="1">
        <f t="shared" si="6"/>
        <v>-1.3203757542045531</v>
      </c>
      <c r="BH50" s="1">
        <f t="shared" si="6"/>
        <v>-1.2590321494361059</v>
      </c>
      <c r="BI50" s="1">
        <f t="shared" si="6"/>
        <v>-1.4452831936194619</v>
      </c>
      <c r="BJ50" s="1">
        <f t="shared" si="6"/>
        <v>-1.2557602345482606</v>
      </c>
      <c r="BK50" s="1">
        <f t="shared" si="6"/>
        <v>-1.2824416452432168</v>
      </c>
      <c r="BL50" s="1">
        <f t="shared" si="6"/>
        <v>-1.5085253044193505</v>
      </c>
      <c r="BM50" s="1">
        <f t="shared" si="6"/>
        <v>-1.2060063342011602</v>
      </c>
      <c r="BN50" s="1">
        <f t="shared" si="6"/>
        <v>-1.2502725516856652</v>
      </c>
      <c r="BO50" s="1">
        <f t="shared" si="6"/>
        <v>-1.328374431737487</v>
      </c>
      <c r="BP50" s="1">
        <f t="shared" si="6"/>
        <v>-1.2276221356188073</v>
      </c>
      <c r="BQ50" s="1">
        <f t="shared" si="6"/>
        <v>-0.94755280642215323</v>
      </c>
      <c r="BR50" s="1">
        <f t="shared" si="6"/>
        <v>-1.1817609048318036</v>
      </c>
      <c r="BS50" s="1">
        <f t="shared" si="6"/>
        <v>-0.92919194088239165</v>
      </c>
      <c r="BT50" s="1">
        <f t="shared" si="6"/>
        <v>-0.96715603526316207</v>
      </c>
      <c r="BU50" s="1">
        <f t="shared" si="6"/>
        <v>-0.71811401092317229</v>
      </c>
      <c r="BV50" s="1">
        <f t="shared" si="6"/>
        <v>-0.84604732365120561</v>
      </c>
      <c r="BW50" s="1">
        <f t="shared" si="6"/>
        <v>-0.58800858569744707</v>
      </c>
      <c r="BX50" s="1">
        <f t="shared" si="6"/>
        <v>-0.73382204316370081</v>
      </c>
      <c r="BY50" s="1">
        <f t="shared" si="6"/>
        <v>-0.65533671140050198</v>
      </c>
      <c r="BZ50" s="1">
        <f t="shared" si="6"/>
        <v>-0.40874047173367667</v>
      </c>
      <c r="CA50" s="1">
        <f t="shared" si="6"/>
        <v>-0.60665162749649526</v>
      </c>
      <c r="CB50" s="1">
        <f t="shared" si="6"/>
        <v>-0.63473485544174335</v>
      </c>
      <c r="CC50" s="1">
        <f t="shared" si="6"/>
        <v>-0.56672183949218469</v>
      </c>
      <c r="CD50" s="1">
        <f t="shared" si="6"/>
        <v>-0.6021906414036764</v>
      </c>
      <c r="CE50" s="1">
        <f t="shared" si="6"/>
        <v>-0.57960113560346316</v>
      </c>
      <c r="CF50" s="1">
        <f t="shared" si="6"/>
        <v>-0.61611942186541957</v>
      </c>
      <c r="CG50" s="1">
        <f t="shared" si="6"/>
        <v>-0.43025934265184218</v>
      </c>
    </row>
    <row r="51" spans="1:85">
      <c r="A51" s="8">
        <v>2011</v>
      </c>
      <c r="B51">
        <v>3870.8887110000001</v>
      </c>
      <c r="C51">
        <v>4109.60484</v>
      </c>
      <c r="D51">
        <v>78181.993006000004</v>
      </c>
      <c r="E51">
        <v>14556.304953000001</v>
      </c>
      <c r="F51">
        <v>2257.0469189999999</v>
      </c>
      <c r="G51">
        <v>6202.514201</v>
      </c>
      <c r="H51">
        <v>5000.6516620000002</v>
      </c>
      <c r="I51">
        <v>33365.795502000001</v>
      </c>
      <c r="J51">
        <v>13390.976436999999</v>
      </c>
      <c r="K51">
        <v>1149.4867019999999</v>
      </c>
      <c r="M51">
        <f>B51*$N$1/'biomass Atlantis newsimGB'!M51</f>
        <v>3.5039390527304183E-3</v>
      </c>
      <c r="N51">
        <f>C51*$N$1/'biomass Atlantis newsimGB'!N51</f>
        <v>5.3737144492167559E-4</v>
      </c>
      <c r="O51">
        <f>D51*$N$1/'biomass Atlantis newsimGB'!O51</f>
        <v>5.7737663219846358E-2</v>
      </c>
      <c r="P51">
        <f>E51*$N$1/'biomass Atlantis newsimGB'!P51</f>
        <v>1.1364087305312968E-2</v>
      </c>
      <c r="Q51">
        <f>F51*$N$1/'biomass Atlantis newsimGB'!Q51</f>
        <v>3.0267025578549172E-3</v>
      </c>
      <c r="R51">
        <f>G51*$N$1/'biomass Atlantis newsimGB'!R51</f>
        <v>7.8418961382056198E-3</v>
      </c>
      <c r="S51">
        <f>H51*$N$1/'biomass Atlantis newsimGB'!S51</f>
        <v>1.9852216611455972E-2</v>
      </c>
      <c r="T51">
        <f>I51*$N$1/'biomass Atlantis newsimGB'!T51</f>
        <v>6.3710580419820226E-3</v>
      </c>
      <c r="U51">
        <f>J51*$N$1/'biomass Atlantis newsimGB'!U51</f>
        <v>7.5663997451682246E-3</v>
      </c>
      <c r="V51">
        <f>K51*$N$1/'biomass Atlantis newsimGB'!V51</f>
        <v>1.4225105801608526E-3</v>
      </c>
      <c r="X51">
        <f t="shared" si="5"/>
        <v>3870.8887110000001</v>
      </c>
      <c r="Y51">
        <f t="shared" si="5"/>
        <v>4109.60484</v>
      </c>
      <c r="Z51">
        <f t="shared" si="5"/>
        <v>78181.993006000004</v>
      </c>
      <c r="AA51">
        <f t="shared" si="5"/>
        <v>14556.304953000001</v>
      </c>
      <c r="AB51">
        <f t="shared" si="5"/>
        <v>2257.0469189999999</v>
      </c>
      <c r="AC51">
        <f t="shared" si="5"/>
        <v>6202.514201</v>
      </c>
      <c r="AD51">
        <f t="shared" si="5"/>
        <v>5000.6516620000002</v>
      </c>
      <c r="AE51">
        <f t="shared" si="5"/>
        <v>33365.795502000001</v>
      </c>
      <c r="AF51">
        <f t="shared" si="5"/>
        <v>13390.976436999999</v>
      </c>
      <c r="AG51">
        <f t="shared" si="5"/>
        <v>1149.4867019999999</v>
      </c>
      <c r="AI51" s="1">
        <f t="shared" si="6"/>
        <v>-0.30062913491573307</v>
      </c>
      <c r="AJ51" s="1">
        <f t="shared" si="6"/>
        <v>-0.34587385860604591</v>
      </c>
      <c r="AK51" s="1">
        <f t="shared" si="6"/>
        <v>-0.34545472869029714</v>
      </c>
      <c r="AL51" s="1">
        <f t="shared" si="6"/>
        <v>-0.35030054780784958</v>
      </c>
      <c r="AM51" s="1">
        <f t="shared" si="6"/>
        <v>-0.33530278834829641</v>
      </c>
      <c r="AN51" s="1">
        <f t="shared" si="6"/>
        <v>-0.27602562187065827</v>
      </c>
      <c r="AO51" s="1">
        <f t="shared" si="6"/>
        <v>-0.19325339350027315</v>
      </c>
      <c r="AP51" s="1">
        <f t="shared" si="6"/>
        <v>-0.18895383640183505</v>
      </c>
      <c r="AQ51" s="1">
        <f t="shared" si="6"/>
        <v>-0.16095324909306052</v>
      </c>
      <c r="AR51" s="1">
        <f t="shared" si="6"/>
        <v>-0.10217566000901313</v>
      </c>
      <c r="AS51" s="1">
        <f t="shared" si="6"/>
        <v>-7.7985844690688921E-3</v>
      </c>
      <c r="AT51" s="1">
        <f t="shared" si="6"/>
        <v>9.5304205940749398E-2</v>
      </c>
      <c r="AU51" s="1">
        <f t="shared" si="6"/>
        <v>0.12524799411583309</v>
      </c>
      <c r="AV51" s="1">
        <f t="shared" si="6"/>
        <v>0.14513723683275792</v>
      </c>
      <c r="AW51" s="1">
        <f t="shared" si="6"/>
        <v>9.5640538931373253E-2</v>
      </c>
      <c r="AX51" s="1">
        <f t="shared" si="6"/>
        <v>2.5649216044512535E-2</v>
      </c>
      <c r="AY51" s="1">
        <f t="shared" si="6"/>
        <v>-7.012869474923189E-3</v>
      </c>
      <c r="AZ51" s="1">
        <f t="shared" si="6"/>
        <v>-7.1700410228714873E-2</v>
      </c>
      <c r="BA51" s="1">
        <f t="shared" si="6"/>
        <v>9.2334500642241579E-3</v>
      </c>
      <c r="BB51" s="1">
        <f t="shared" si="6"/>
        <v>2.2702818333720565E-2</v>
      </c>
      <c r="BC51" s="1">
        <f t="shared" si="6"/>
        <v>-2.704919910406467E-2</v>
      </c>
      <c r="BD51" s="1">
        <f t="shared" si="6"/>
        <v>-4.3744419651618127E-2</v>
      </c>
      <c r="BE51" s="1">
        <f t="shared" si="6"/>
        <v>-5.7924546483484995E-2</v>
      </c>
      <c r="BF51" s="1">
        <f t="shared" si="6"/>
        <v>-4.2971349536640169E-2</v>
      </c>
      <c r="BG51" s="1">
        <f t="shared" si="6"/>
        <v>-1.1656895538588508E-2</v>
      </c>
      <c r="BH51" s="1">
        <f t="shared" si="6"/>
        <v>6.7307923812869319E-3</v>
      </c>
      <c r="BI51" s="1">
        <f t="shared" si="6"/>
        <v>8.2262067468531486E-2</v>
      </c>
      <c r="BJ51" s="1">
        <f t="shared" si="6"/>
        <v>0.14473365458446019</v>
      </c>
      <c r="BK51" s="1">
        <f t="shared" si="6"/>
        <v>0.18032901551655889</v>
      </c>
      <c r="BL51" s="1">
        <f t="shared" si="6"/>
        <v>0.22193291000793947</v>
      </c>
      <c r="BM51" s="1">
        <f t="shared" si="6"/>
        <v>0.12953851892820412</v>
      </c>
      <c r="BN51" s="1">
        <f t="shared" si="6"/>
        <v>0.24231376424140971</v>
      </c>
      <c r="BO51" s="1">
        <f t="shared" si="6"/>
        <v>0.18693844394855264</v>
      </c>
      <c r="BP51" s="1">
        <f t="shared" si="6"/>
        <v>9.5855023636637116E-2</v>
      </c>
      <c r="BQ51" s="1">
        <f t="shared" si="6"/>
        <v>0.13431207418688706</v>
      </c>
      <c r="BR51" s="1">
        <f t="shared" si="6"/>
        <v>0.11146738333070982</v>
      </c>
      <c r="BS51" s="1">
        <f t="shared" si="6"/>
        <v>8.8575147848406699E-2</v>
      </c>
      <c r="BT51" s="1">
        <f t="shared" si="6"/>
        <v>0.10230646288708156</v>
      </c>
      <c r="BU51" s="1">
        <f t="shared" si="6"/>
        <v>4.2856674093283864E-2</v>
      </c>
      <c r="BV51" s="1">
        <f t="shared" si="6"/>
        <v>1.3949068410263887E-2</v>
      </c>
      <c r="BW51" s="1">
        <f t="shared" si="6"/>
        <v>8.4442839289065041E-3</v>
      </c>
      <c r="BX51" s="1">
        <f t="shared" si="6"/>
        <v>3.1530150126206635E-2</v>
      </c>
      <c r="BY51" s="1">
        <f t="shared" si="6"/>
        <v>2.0340949779556361E-2</v>
      </c>
      <c r="BZ51" s="1">
        <f t="shared" si="6"/>
        <v>6.5853799001316382E-3</v>
      </c>
      <c r="CA51" s="1">
        <f t="shared" si="6"/>
        <v>4.0474016658835765E-3</v>
      </c>
      <c r="CB51" s="1">
        <f t="shared" si="6"/>
        <v>-1.6802766638320588E-2</v>
      </c>
      <c r="CC51" s="1">
        <f t="shared" si="6"/>
        <v>-2.9379861438270538E-2</v>
      </c>
      <c r="CD51" s="1">
        <f t="shared" si="6"/>
        <v>-5.379567008155739E-2</v>
      </c>
      <c r="CE51" s="1">
        <f t="shared" si="6"/>
        <v>-6.9178210538221041E-2</v>
      </c>
      <c r="CF51" s="1">
        <f t="shared" si="6"/>
        <v>-7.9278859831667603E-2</v>
      </c>
      <c r="CG51" s="1">
        <f t="shared" si="6"/>
        <v>-1.6644165393598249</v>
      </c>
    </row>
    <row r="52" spans="1:85">
      <c r="A52" s="8">
        <v>2012</v>
      </c>
      <c r="B52">
        <v>3822.2195379999998</v>
      </c>
      <c r="C52">
        <v>4049.194176</v>
      </c>
      <c r="D52">
        <v>86471.902742000006</v>
      </c>
      <c r="E52">
        <v>14636.329318</v>
      </c>
      <c r="F52">
        <v>2349.413724</v>
      </c>
      <c r="G52">
        <v>6215.9796779999997</v>
      </c>
      <c r="H52">
        <v>4977.0424949999997</v>
      </c>
      <c r="I52">
        <v>38882.382590000001</v>
      </c>
      <c r="J52">
        <v>13159.052745999999</v>
      </c>
      <c r="K52">
        <v>1143.5995559999999</v>
      </c>
      <c r="M52">
        <f>B52*$N$1/'biomass Atlantis newsimGB'!M52</f>
        <v>3.493811651520724E-3</v>
      </c>
      <c r="N52">
        <f>C52*$N$1/'biomass Atlantis newsimGB'!N52</f>
        <v>5.2617990613869152E-4</v>
      </c>
      <c r="O52">
        <f>D52*$N$1/'biomass Atlantis newsimGB'!O52</f>
        <v>7.0963378220050874E-2</v>
      </c>
      <c r="P52">
        <f>E52*$N$1/'biomass Atlantis newsimGB'!P52</f>
        <v>1.1284098219512482E-2</v>
      </c>
      <c r="Q52">
        <f>F52*$N$1/'biomass Atlantis newsimGB'!Q52</f>
        <v>2.9795635620243135E-3</v>
      </c>
      <c r="R52">
        <f>G52*$N$1/'biomass Atlantis newsimGB'!R52</f>
        <v>7.7391801562610215E-3</v>
      </c>
      <c r="S52">
        <f>H52*$N$1/'biomass Atlantis newsimGB'!S52</f>
        <v>1.9697289783920543E-2</v>
      </c>
      <c r="T52">
        <f>I52*$N$1/'biomass Atlantis newsimGB'!T52</f>
        <v>6.7112136921874364E-3</v>
      </c>
      <c r="U52">
        <f>J52*$N$1/'biomass Atlantis newsimGB'!U52</f>
        <v>7.331357037160844E-3</v>
      </c>
      <c r="V52">
        <f>K52*$N$1/'biomass Atlantis newsimGB'!V52</f>
        <v>1.4360496263582264E-3</v>
      </c>
      <c r="X52">
        <f t="shared" si="5"/>
        <v>3822.2195379999998</v>
      </c>
      <c r="Y52">
        <f t="shared" si="5"/>
        <v>4049.194176</v>
      </c>
      <c r="Z52">
        <f t="shared" si="5"/>
        <v>86471.902742000006</v>
      </c>
      <c r="AA52">
        <f t="shared" si="5"/>
        <v>14636.329318</v>
      </c>
      <c r="AB52">
        <f t="shared" si="5"/>
        <v>2349.413724</v>
      </c>
      <c r="AC52">
        <f t="shared" si="5"/>
        <v>6215.9796779999997</v>
      </c>
      <c r="AD52">
        <f t="shared" si="5"/>
        <v>4977.0424949999997</v>
      </c>
      <c r="AE52">
        <f t="shared" si="5"/>
        <v>38882.382590000001</v>
      </c>
      <c r="AF52">
        <f t="shared" si="5"/>
        <v>13159.052745999999</v>
      </c>
      <c r="AG52">
        <f t="shared" si="5"/>
        <v>1143.5995559999999</v>
      </c>
      <c r="AI52" s="1">
        <v>-999</v>
      </c>
      <c r="AJ52" s="1">
        <v>-999</v>
      </c>
      <c r="AK52" s="1">
        <v>-999</v>
      </c>
      <c r="AL52" s="1">
        <v>-999</v>
      </c>
      <c r="AM52" s="1">
        <v>-999</v>
      </c>
      <c r="AN52" s="1">
        <v>-999</v>
      </c>
      <c r="AO52" s="1">
        <v>-999</v>
      </c>
      <c r="AP52" s="1">
        <v>-999</v>
      </c>
      <c r="AQ52" s="1">
        <v>-999</v>
      </c>
      <c r="AR52" s="1">
        <v>-999</v>
      </c>
      <c r="AS52" s="1">
        <v>-999</v>
      </c>
      <c r="AT52" s="1">
        <v>-999</v>
      </c>
      <c r="AU52" s="1">
        <v>-999</v>
      </c>
      <c r="AV52" s="1">
        <v>-999</v>
      </c>
      <c r="AW52" s="1">
        <v>-999</v>
      </c>
      <c r="AX52" s="1">
        <v>-999</v>
      </c>
      <c r="AY52" s="1">
        <v>-999</v>
      </c>
      <c r="AZ52" s="1">
        <v>-999</v>
      </c>
      <c r="BA52" s="1">
        <v>-999</v>
      </c>
      <c r="BB52" s="1">
        <v>-999</v>
      </c>
      <c r="BC52" s="1">
        <v>-999</v>
      </c>
      <c r="BD52" s="1">
        <v>-999</v>
      </c>
      <c r="BE52" s="1">
        <v>-999</v>
      </c>
      <c r="BF52" s="1">
        <v>-999</v>
      </c>
      <c r="BG52" s="1">
        <v>-999</v>
      </c>
      <c r="BH52" s="1">
        <v>-999</v>
      </c>
      <c r="BI52" s="1">
        <v>-999</v>
      </c>
      <c r="BJ52" s="1">
        <v>-999</v>
      </c>
      <c r="BK52" s="1">
        <v>-999</v>
      </c>
      <c r="BL52" s="1">
        <v>-999</v>
      </c>
      <c r="BM52" s="1">
        <v>-999</v>
      </c>
      <c r="BN52" s="1">
        <v>-999</v>
      </c>
      <c r="BO52" s="1">
        <v>-999</v>
      </c>
      <c r="BP52" s="1">
        <v>-999</v>
      </c>
      <c r="BQ52" s="1">
        <v>-999</v>
      </c>
      <c r="BR52" s="1">
        <v>-999</v>
      </c>
      <c r="BS52" s="1">
        <v>-999</v>
      </c>
      <c r="BT52" s="1">
        <v>-999</v>
      </c>
      <c r="BU52" s="1">
        <v>-999</v>
      </c>
      <c r="BV52" s="1">
        <v>-999</v>
      </c>
      <c r="BW52" s="1">
        <v>-999</v>
      </c>
      <c r="BX52" s="1">
        <v>-999</v>
      </c>
      <c r="BY52" s="1">
        <v>-999</v>
      </c>
      <c r="BZ52" s="1">
        <v>-999</v>
      </c>
      <c r="CA52" s="1">
        <v>-999</v>
      </c>
      <c r="CB52" s="1">
        <v>-999</v>
      </c>
      <c r="CC52" s="1">
        <v>-999</v>
      </c>
      <c r="CD52" s="1">
        <v>-999</v>
      </c>
      <c r="CE52" s="1">
        <v>-999</v>
      </c>
      <c r="CF52" s="1">
        <v>-999</v>
      </c>
      <c r="CG52" s="1">
        <v>-999</v>
      </c>
    </row>
    <row r="53" spans="1:85">
      <c r="A53" s="8">
        <v>2013</v>
      </c>
      <c r="B53">
        <v>3678.5925990000001</v>
      </c>
      <c r="C53">
        <v>3994.5308519999999</v>
      </c>
      <c r="D53">
        <v>76484.708933000002</v>
      </c>
      <c r="E53">
        <v>14710.997042000001</v>
      </c>
      <c r="F53">
        <v>2324.4415119999999</v>
      </c>
      <c r="G53">
        <v>6257.5462859999998</v>
      </c>
      <c r="H53">
        <v>4970.1683199999998</v>
      </c>
      <c r="I53">
        <v>39616.946257000003</v>
      </c>
      <c r="J53">
        <v>12881.290691</v>
      </c>
      <c r="K53">
        <v>1113.0458530000001</v>
      </c>
      <c r="M53">
        <f>B53*$N$1/'biomass Atlantis newsimGB'!M53</f>
        <v>3.4184616428677424E-3</v>
      </c>
      <c r="N53">
        <f>C53*$N$1/'biomass Atlantis newsimGB'!N53</f>
        <v>5.1820051845287061E-4</v>
      </c>
      <c r="O53">
        <f>D53*$N$1/'biomass Atlantis newsimGB'!O53</f>
        <v>6.7508655026371225E-2</v>
      </c>
      <c r="P53">
        <f>E53*$N$1/'biomass Atlantis newsimGB'!P53</f>
        <v>1.1112573789798174E-2</v>
      </c>
      <c r="Q53">
        <f>F53*$N$1/'biomass Atlantis newsimGB'!Q53</f>
        <v>2.7604569924814075E-3</v>
      </c>
      <c r="R53">
        <f>G53*$N$1/'biomass Atlantis newsimGB'!R53</f>
        <v>7.5077152292996772E-3</v>
      </c>
      <c r="S53">
        <f>H53*$N$1/'biomass Atlantis newsimGB'!S53</f>
        <v>1.9389675050524049E-2</v>
      </c>
      <c r="T53">
        <f>I53*$N$1/'biomass Atlantis newsimGB'!T53</f>
        <v>6.1699661469174494E-3</v>
      </c>
      <c r="U53">
        <f>J53*$N$1/'biomass Atlantis newsimGB'!U53</f>
        <v>7.0048510753652976E-3</v>
      </c>
      <c r="V53">
        <f>K53*$N$1/'biomass Atlantis newsimGB'!V53</f>
        <v>1.3841856809216583E-3</v>
      </c>
      <c r="X53">
        <f t="shared" si="5"/>
        <v>3678.5925990000001</v>
      </c>
      <c r="Y53">
        <f t="shared" si="5"/>
        <v>3994.5308519999999</v>
      </c>
      <c r="Z53">
        <f t="shared" si="5"/>
        <v>76484.708933000002</v>
      </c>
      <c r="AA53">
        <f t="shared" si="5"/>
        <v>14710.997042000001</v>
      </c>
      <c r="AB53">
        <f t="shared" si="5"/>
        <v>2324.4415119999999</v>
      </c>
      <c r="AC53">
        <f t="shared" si="5"/>
        <v>6257.5462859999998</v>
      </c>
      <c r="AD53">
        <f t="shared" si="5"/>
        <v>4970.1683199999998</v>
      </c>
      <c r="AE53">
        <f t="shared" si="5"/>
        <v>39616.946257000003</v>
      </c>
      <c r="AF53">
        <f t="shared" si="5"/>
        <v>12881.290691</v>
      </c>
      <c r="AG53">
        <f t="shared" si="5"/>
        <v>1113.0458530000001</v>
      </c>
    </row>
    <row r="54" spans="1:85">
      <c r="A54" s="8">
        <v>2014</v>
      </c>
      <c r="B54">
        <v>3957.6526990000002</v>
      </c>
      <c r="C54">
        <v>3982.5565769999998</v>
      </c>
      <c r="D54">
        <v>72211.031719999999</v>
      </c>
      <c r="E54">
        <v>14864.083708</v>
      </c>
      <c r="F54">
        <v>2534.084883</v>
      </c>
      <c r="G54">
        <v>6512.2251749999996</v>
      </c>
      <c r="H54">
        <v>4916.2449210000004</v>
      </c>
      <c r="I54">
        <v>46583.644630000003</v>
      </c>
      <c r="J54">
        <v>12893.741193</v>
      </c>
      <c r="K54">
        <v>1209.6876830000001</v>
      </c>
      <c r="M54">
        <f>B54*$N$1/'biomass Atlantis newsimGB'!M54</f>
        <v>3.4895997357679174E-3</v>
      </c>
      <c r="N54">
        <f>C54*$N$1/'biomass Atlantis newsimGB'!N54</f>
        <v>5.1567415553601358E-4</v>
      </c>
      <c r="O54">
        <f>D54*$N$1/'biomass Atlantis newsimGB'!O54</f>
        <v>6.7040694910035198E-2</v>
      </c>
      <c r="P54">
        <f>E54*$N$1/'biomass Atlantis newsimGB'!P54</f>
        <v>1.1089947183912452E-2</v>
      </c>
      <c r="Q54">
        <f>F54*$N$1/'biomass Atlantis newsimGB'!Q54</f>
        <v>2.8849114103801517E-3</v>
      </c>
      <c r="R54">
        <f>G54*$N$1/'biomass Atlantis newsimGB'!R54</f>
        <v>7.7034857634918135E-3</v>
      </c>
      <c r="S54">
        <f>H54*$N$1/'biomass Atlantis newsimGB'!S54</f>
        <v>1.8736597137980673E-2</v>
      </c>
      <c r="T54">
        <f>I54*$N$1/'biomass Atlantis newsimGB'!T54</f>
        <v>9.4654847557395869E-3</v>
      </c>
      <c r="U54">
        <f>J54*$N$1/'biomass Atlantis newsimGB'!U54</f>
        <v>6.7716739368825721E-3</v>
      </c>
      <c r="V54">
        <f>K54*$N$1/'biomass Atlantis newsimGB'!V54</f>
        <v>1.5300145996018407E-3</v>
      </c>
      <c r="X54">
        <f t="shared" si="5"/>
        <v>3957.6526990000002</v>
      </c>
      <c r="Y54">
        <f t="shared" si="5"/>
        <v>3982.5565769999998</v>
      </c>
      <c r="Z54">
        <f t="shared" si="5"/>
        <v>72211.031719999999</v>
      </c>
      <c r="AA54">
        <f t="shared" si="5"/>
        <v>14864.083708</v>
      </c>
      <c r="AB54">
        <f t="shared" si="5"/>
        <v>2534.084883</v>
      </c>
      <c r="AC54">
        <f t="shared" si="5"/>
        <v>6512.2251749999996</v>
      </c>
      <c r="AD54">
        <f t="shared" si="5"/>
        <v>4916.2449210000004</v>
      </c>
      <c r="AE54">
        <f t="shared" si="5"/>
        <v>46583.644630000003</v>
      </c>
      <c r="AF54">
        <f t="shared" si="5"/>
        <v>12893.741193</v>
      </c>
      <c r="AG54">
        <f t="shared" si="5"/>
        <v>1209.6876830000001</v>
      </c>
    </row>
    <row r="55" spans="1:85">
      <c r="A55" s="9">
        <v>2014.14</v>
      </c>
      <c r="B55">
        <v>62.227933</v>
      </c>
      <c r="C55">
        <v>111.28028</v>
      </c>
      <c r="D55">
        <v>2344.7996990000001</v>
      </c>
      <c r="E55">
        <v>425.37399199999999</v>
      </c>
      <c r="F55">
        <v>52.441119</v>
      </c>
      <c r="G55">
        <v>148.34513000000001</v>
      </c>
      <c r="H55">
        <v>57.118746999999999</v>
      </c>
      <c r="I55">
        <v>185.22793999999999</v>
      </c>
      <c r="J55">
        <v>347.02735100000001</v>
      </c>
      <c r="K55">
        <v>21.619451000000002</v>
      </c>
      <c r="M55">
        <f>B55*$N$1/'biomass Atlantis newsimGB'!M55</f>
        <v>5.4667128575859835E-5</v>
      </c>
      <c r="N55">
        <f>C55*$N$1/'biomass Atlantis newsimGB'!N55</f>
        <v>1.4338526625063682E-5</v>
      </c>
      <c r="O55">
        <f>D55*$N$1/'biomass Atlantis newsimGB'!O55</f>
        <v>2.126275288171527E-3</v>
      </c>
      <c r="P55">
        <f>E55*$N$1/'biomass Atlantis newsimGB'!P55</f>
        <v>3.1693904316684881E-4</v>
      </c>
      <c r="Q55">
        <f>F55*$N$1/'biomass Atlantis newsimGB'!Q55</f>
        <v>6.1130230735781195E-5</v>
      </c>
      <c r="R55">
        <f>G55*$N$1/'biomass Atlantis newsimGB'!R55</f>
        <v>1.7793097204640322E-4</v>
      </c>
      <c r="S55">
        <f>H55*$N$1/'biomass Atlantis newsimGB'!S55</f>
        <v>2.3019120974132387E-4</v>
      </c>
      <c r="T55">
        <f>I55*$N$1/'biomass Atlantis newsimGB'!T55</f>
        <v>3.760956055928812E-5</v>
      </c>
      <c r="U55">
        <f>J55*$N$1/'biomass Atlantis newsimGB'!U55</f>
        <v>1.819683814218109E-4</v>
      </c>
      <c r="V55">
        <f>K55*$N$1/'biomass Atlantis newsimGB'!V55</f>
        <v>2.7048962116728873E-5</v>
      </c>
      <c r="X55">
        <f t="shared" si="5"/>
        <v>62.227933</v>
      </c>
      <c r="Y55">
        <f t="shared" si="5"/>
        <v>111.28028</v>
      </c>
      <c r="Z55">
        <f t="shared" si="5"/>
        <v>2344.7996990000001</v>
      </c>
      <c r="AA55">
        <f t="shared" si="5"/>
        <v>425.37399199999999</v>
      </c>
      <c r="AB55">
        <f t="shared" si="5"/>
        <v>52.441119</v>
      </c>
      <c r="AC55">
        <f t="shared" si="5"/>
        <v>148.34513000000001</v>
      </c>
      <c r="AD55">
        <f t="shared" si="5"/>
        <v>57.118746999999999</v>
      </c>
      <c r="AE55">
        <f t="shared" si="5"/>
        <v>185.22793999999999</v>
      </c>
      <c r="AF55">
        <f t="shared" si="5"/>
        <v>347.02735100000001</v>
      </c>
      <c r="AG55">
        <f t="shared" si="5"/>
        <v>21.619451000000002</v>
      </c>
    </row>
    <row r="56" spans="1:85">
      <c r="AI56">
        <f>10^-999</f>
        <v>0</v>
      </c>
    </row>
  </sheetData>
  <pageMargins left="0.7" right="0.7" top="0.75" bottom="0.75" header="0.3" footer="0.3"/>
  <pageSetup orientation="portrait" horizontalDpi="1200" verticalDpi="12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6"/>
  <sheetViews>
    <sheetView workbookViewId="0">
      <selection activeCell="M4" sqref="M4"/>
    </sheetView>
  </sheetViews>
  <sheetFormatPr baseColWidth="10" defaultColWidth="8.83203125" defaultRowHeight="14" x14ac:dyDescent="0"/>
  <sheetData>
    <row r="1" spans="1:75">
      <c r="B1" t="s">
        <v>35</v>
      </c>
      <c r="C1" t="s">
        <v>36</v>
      </c>
      <c r="D1" t="s">
        <v>38</v>
      </c>
      <c r="E1" t="s">
        <v>40</v>
      </c>
      <c r="F1" t="s">
        <v>41</v>
      </c>
      <c r="G1" t="s">
        <v>47</v>
      </c>
      <c r="H1" t="s">
        <v>45</v>
      </c>
      <c r="I1" t="s">
        <v>51</v>
      </c>
      <c r="J1" t="s">
        <v>188</v>
      </c>
      <c r="K1" t="s">
        <v>189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75">
      <c r="A2" s="5" t="s">
        <v>190</v>
      </c>
      <c r="B2" s="7" t="s">
        <v>186</v>
      </c>
      <c r="C2" s="7" t="s">
        <v>187</v>
      </c>
      <c r="D2" s="7" t="s">
        <v>179</v>
      </c>
      <c r="E2" s="7" t="s">
        <v>182</v>
      </c>
      <c r="F2" s="7" t="s">
        <v>184</v>
      </c>
      <c r="G2" s="7" t="s">
        <v>185</v>
      </c>
      <c r="H2" s="7" t="s">
        <v>180</v>
      </c>
      <c r="I2" s="7" t="s">
        <v>178</v>
      </c>
      <c r="J2" s="7" t="s">
        <v>183</v>
      </c>
      <c r="K2" s="7" t="s">
        <v>181</v>
      </c>
      <c r="M2" s="12" t="s">
        <v>222</v>
      </c>
      <c r="N2" s="3"/>
      <c r="R2" s="1"/>
      <c r="S2" s="1"/>
      <c r="T2" s="1"/>
      <c r="U2" s="1"/>
      <c r="V2" s="1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7"/>
      <c r="AK2" s="7"/>
      <c r="AL2" s="7"/>
      <c r="AM2" s="7"/>
    </row>
    <row r="3" spans="1:75">
      <c r="A3" s="6" t="s">
        <v>177</v>
      </c>
      <c r="B3" s="7" t="s">
        <v>200</v>
      </c>
      <c r="C3" s="7" t="s">
        <v>201</v>
      </c>
      <c r="D3" s="7" t="s">
        <v>193</v>
      </c>
      <c r="E3" s="7" t="s">
        <v>196</v>
      </c>
      <c r="F3" s="7" t="s">
        <v>198</v>
      </c>
      <c r="G3" s="7" t="s">
        <v>199</v>
      </c>
      <c r="H3" s="7" t="s">
        <v>194</v>
      </c>
      <c r="I3" s="7" t="s">
        <v>192</v>
      </c>
      <c r="J3" s="7" t="s">
        <v>197</v>
      </c>
      <c r="K3" s="7" t="s">
        <v>195</v>
      </c>
      <c r="L3" s="23"/>
      <c r="M3" t="s">
        <v>35</v>
      </c>
      <c r="N3" t="s">
        <v>36</v>
      </c>
      <c r="O3" t="s">
        <v>38</v>
      </c>
      <c r="P3" t="s">
        <v>40</v>
      </c>
      <c r="Q3" t="s">
        <v>41</v>
      </c>
      <c r="R3" t="s">
        <v>47</v>
      </c>
      <c r="S3" t="s">
        <v>45</v>
      </c>
      <c r="T3" t="s">
        <v>51</v>
      </c>
      <c r="U3" t="s">
        <v>188</v>
      </c>
      <c r="V3" t="s">
        <v>189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7"/>
      <c r="AK3" s="7"/>
      <c r="AL3" s="7"/>
      <c r="AM3" s="7"/>
    </row>
    <row r="4" spans="1:75">
      <c r="A4" s="8">
        <v>1964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23"/>
      <c r="M4" s="3">
        <v>322944</v>
      </c>
      <c r="N4" s="13">
        <v>9413770</v>
      </c>
      <c r="O4" s="13">
        <v>2994860</v>
      </c>
      <c r="P4" s="13">
        <v>2778160</v>
      </c>
      <c r="Q4" s="13">
        <v>15591200</v>
      </c>
      <c r="R4" s="13">
        <v>4914660</v>
      </c>
      <c r="S4" s="13">
        <v>1363490</v>
      </c>
      <c r="T4" s="13">
        <v>2136940</v>
      </c>
      <c r="U4" s="3">
        <v>328326</v>
      </c>
      <c r="V4" s="13">
        <v>1975530</v>
      </c>
      <c r="W4" s="10"/>
      <c r="X4" s="10">
        <v>322944</v>
      </c>
      <c r="Y4" s="10">
        <v>318582.964224</v>
      </c>
      <c r="Z4" s="10">
        <v>313505.31571200001</v>
      </c>
      <c r="AA4" s="10">
        <v>311187.22368</v>
      </c>
      <c r="AB4" s="10">
        <v>313237.272192</v>
      </c>
      <c r="AC4" s="10">
        <v>321777.20332800003</v>
      </c>
      <c r="AD4" s="10">
        <v>335764.230912</v>
      </c>
      <c r="AE4" s="10">
        <v>355575.23059200001</v>
      </c>
      <c r="AF4" s="10">
        <v>391881.24096000002</v>
      </c>
      <c r="AG4" s="10">
        <v>420356.82815999998</v>
      </c>
      <c r="AH4" s="10">
        <v>453098.18265600002</v>
      </c>
      <c r="AI4" s="10">
        <v>489544.35071999999</v>
      </c>
      <c r="AJ4" s="7">
        <v>526790.45107199997</v>
      </c>
      <c r="AK4" s="7">
        <v>564224.18188799999</v>
      </c>
      <c r="AL4" s="7">
        <v>603763.18463999999</v>
      </c>
      <c r="AM4" s="7">
        <v>644112.13094399997</v>
      </c>
      <c r="AN4">
        <v>685405.04255999997</v>
      </c>
      <c r="AO4">
        <v>717264.43699199997</v>
      </c>
      <c r="AP4">
        <v>744810.26841599995</v>
      </c>
      <c r="AQ4">
        <v>767269.73183999991</v>
      </c>
      <c r="AR4">
        <v>789731.13292800006</v>
      </c>
      <c r="AS4">
        <v>979954.83724799997</v>
      </c>
      <c r="AT4">
        <v>985479.76320000004</v>
      </c>
      <c r="AU4">
        <v>1000515.389952</v>
      </c>
      <c r="AV4">
        <v>1023820.643712</v>
      </c>
      <c r="AW4">
        <v>1049917.4254079999</v>
      </c>
      <c r="AX4">
        <v>1078689.4752</v>
      </c>
      <c r="AY4">
        <v>1224782.8819200001</v>
      </c>
      <c r="AZ4">
        <v>1201531.2368640001</v>
      </c>
      <c r="BA4">
        <v>1187721.1825919999</v>
      </c>
      <c r="BB4">
        <v>1173335.965056</v>
      </c>
      <c r="BC4">
        <v>1164290.9495039999</v>
      </c>
      <c r="BD4">
        <v>1156423.7107200001</v>
      </c>
      <c r="BE4">
        <v>1203591.619584</v>
      </c>
      <c r="BF4">
        <v>1187939.4927360001</v>
      </c>
      <c r="BG4">
        <v>1174918.7135999999</v>
      </c>
      <c r="BH4">
        <v>1164941.3587199999</v>
      </c>
      <c r="BI4">
        <v>1200004.6805759999</v>
      </c>
      <c r="BJ4">
        <v>1189195.4219519999</v>
      </c>
      <c r="BK4">
        <v>1184021.859072</v>
      </c>
      <c r="BL4">
        <v>1294204.8618239998</v>
      </c>
      <c r="BM4">
        <v>1256708.156928</v>
      </c>
      <c r="BN4">
        <v>1225214.3351040001</v>
      </c>
      <c r="BO4">
        <v>1195731.485568</v>
      </c>
      <c r="BP4">
        <v>1168301.268096</v>
      </c>
      <c r="BQ4">
        <v>1144856.8254720001</v>
      </c>
      <c r="BR4">
        <v>1123438.21056</v>
      </c>
      <c r="BS4">
        <v>1104724.897536</v>
      </c>
      <c r="BT4">
        <v>1093997.0208000001</v>
      </c>
      <c r="BU4">
        <v>1076095.911936</v>
      </c>
      <c r="BV4">
        <v>1134127.9799039999</v>
      </c>
      <c r="BW4">
        <v>1138306.2293760001</v>
      </c>
    </row>
    <row r="5" spans="1:75">
      <c r="A5" s="8">
        <v>1965</v>
      </c>
      <c r="B5" s="7">
        <v>0.98649600000000004</v>
      </c>
      <c r="C5" s="7">
        <v>1.3071660000000001</v>
      </c>
      <c r="D5" s="7">
        <v>0.86966699999999997</v>
      </c>
      <c r="E5" s="7">
        <v>0.99479200000000001</v>
      </c>
      <c r="F5" s="7">
        <v>0.54168899999999998</v>
      </c>
      <c r="G5" s="7">
        <v>0.72628000000000004</v>
      </c>
      <c r="H5" s="7">
        <v>1.0430809999999999</v>
      </c>
      <c r="I5" s="7">
        <v>1.2448889999999999</v>
      </c>
      <c r="J5" s="7">
        <v>1.2681420000000001</v>
      </c>
      <c r="K5" s="7">
        <v>1.21678</v>
      </c>
      <c r="L5" s="23"/>
      <c r="M5">
        <f>B5*M$4</f>
        <v>318582.964224</v>
      </c>
      <c r="N5">
        <f t="shared" ref="N5:V5" si="0">C5*N$4</f>
        <v>12305360.075820001</v>
      </c>
      <c r="O5">
        <f t="shared" si="0"/>
        <v>2604530.9116199999</v>
      </c>
      <c r="P5">
        <f t="shared" si="0"/>
        <v>2763691.3427200001</v>
      </c>
      <c r="Q5">
        <f t="shared" si="0"/>
        <v>8445581.536799999</v>
      </c>
      <c r="R5">
        <f t="shared" si="0"/>
        <v>3569419.2648</v>
      </c>
      <c r="S5">
        <f t="shared" si="0"/>
        <v>1422230.51269</v>
      </c>
      <c r="T5">
        <f t="shared" si="0"/>
        <v>2660253.0996599998</v>
      </c>
      <c r="U5">
        <f t="shared" si="0"/>
        <v>416363.99029200006</v>
      </c>
      <c r="V5">
        <f t="shared" si="0"/>
        <v>2403785.3933999999</v>
      </c>
      <c r="W5" s="10"/>
      <c r="X5" s="10">
        <v>9413770</v>
      </c>
      <c r="Y5" s="10">
        <v>12305360.075820001</v>
      </c>
      <c r="Z5" s="10">
        <v>14523526.700920001</v>
      </c>
      <c r="AA5" s="10">
        <v>16346230.262090001</v>
      </c>
      <c r="AB5" s="10">
        <v>17538088.854249999</v>
      </c>
      <c r="AC5" s="10">
        <v>18730474.617529999</v>
      </c>
      <c r="AD5" s="10">
        <v>19930617.327289999</v>
      </c>
      <c r="AE5" s="10">
        <v>20381856.978470001</v>
      </c>
      <c r="AF5" s="10">
        <v>21123266.676130001</v>
      </c>
      <c r="AG5" s="10">
        <v>21908064.439720001</v>
      </c>
      <c r="AH5" s="10">
        <v>21841160.776330002</v>
      </c>
      <c r="AI5" s="10">
        <v>22158913.16891</v>
      </c>
      <c r="AJ5" s="7">
        <v>22389484.637519997</v>
      </c>
      <c r="AK5" s="7">
        <v>21541868.78672</v>
      </c>
      <c r="AL5" s="7">
        <v>21308407.290720001</v>
      </c>
      <c r="AM5" s="7">
        <v>21106745.509780001</v>
      </c>
      <c r="AN5">
        <v>19753412.520810001</v>
      </c>
      <c r="AO5">
        <v>19068476.029379997</v>
      </c>
      <c r="AP5">
        <v>18336451.860410001</v>
      </c>
      <c r="AQ5">
        <v>16946254.548119999</v>
      </c>
      <c r="AR5">
        <v>16085421.76424</v>
      </c>
      <c r="AS5">
        <v>15539140.69114</v>
      </c>
      <c r="AT5">
        <v>14373546.517279999</v>
      </c>
      <c r="AU5">
        <v>13589341.8212</v>
      </c>
      <c r="AV5">
        <v>12868604.762459999</v>
      </c>
      <c r="AW5">
        <v>12205122.25286</v>
      </c>
      <c r="AX5">
        <v>11590939.656749999</v>
      </c>
      <c r="AY5">
        <v>11095728.2859</v>
      </c>
      <c r="AZ5">
        <v>10650485.20621</v>
      </c>
      <c r="BA5">
        <v>10228070.51877</v>
      </c>
      <c r="BB5">
        <v>9914450.7712200005</v>
      </c>
      <c r="BC5">
        <v>9593714.2135499995</v>
      </c>
      <c r="BD5">
        <v>9226765.4589499999</v>
      </c>
      <c r="BE5">
        <v>8993661.6862100009</v>
      </c>
      <c r="BF5">
        <v>8695970.0374999996</v>
      </c>
      <c r="BG5">
        <v>8469437.0762200002</v>
      </c>
      <c r="BH5">
        <v>8215500.6304700002</v>
      </c>
      <c r="BI5">
        <v>8037542.7223899998</v>
      </c>
      <c r="BJ5">
        <v>7923579.6227700002</v>
      </c>
      <c r="BK5">
        <v>7859274.1599000003</v>
      </c>
      <c r="BL5">
        <v>7793980.2511799997</v>
      </c>
      <c r="BM5">
        <v>7766567.3529400006</v>
      </c>
      <c r="BN5">
        <v>7730183.1318899998</v>
      </c>
      <c r="BO5">
        <v>7673258.0647</v>
      </c>
      <c r="BP5">
        <v>7680214.8407300003</v>
      </c>
      <c r="BQ5">
        <v>7663712.5019200006</v>
      </c>
      <c r="BR5">
        <v>7639406.1477799993</v>
      </c>
      <c r="BS5">
        <v>7647605.5414500004</v>
      </c>
      <c r="BT5">
        <v>7695455.7343600001</v>
      </c>
      <c r="BU5">
        <v>7708465.5644999994</v>
      </c>
      <c r="BV5">
        <v>7723009.8391499994</v>
      </c>
      <c r="BW5">
        <v>7760928.50471</v>
      </c>
    </row>
    <row r="6" spans="1:75">
      <c r="A6" s="8">
        <v>1966</v>
      </c>
      <c r="B6" s="7">
        <v>0.970773</v>
      </c>
      <c r="C6" s="7">
        <v>1.5427960000000001</v>
      </c>
      <c r="D6" s="7">
        <v>0.71513899999999997</v>
      </c>
      <c r="E6" s="7">
        <v>1.018937</v>
      </c>
      <c r="F6" s="7">
        <v>0.44150800000000001</v>
      </c>
      <c r="G6" s="7">
        <v>0.75197000000000003</v>
      </c>
      <c r="H6" s="7">
        <v>0.93827099999999997</v>
      </c>
      <c r="I6" s="7">
        <v>0.97485699999999997</v>
      </c>
      <c r="J6" s="7">
        <v>1.5178430000000001</v>
      </c>
      <c r="K6" s="7">
        <v>1.357437</v>
      </c>
      <c r="L6" s="23"/>
      <c r="M6">
        <f t="shared" ref="M6:M55" si="1">B6*M$4</f>
        <v>313505.31571200001</v>
      </c>
      <c r="N6">
        <f t="shared" ref="N6:N55" si="2">C6*N$4</f>
        <v>14523526.700920001</v>
      </c>
      <c r="O6">
        <f t="shared" ref="O6:O55" si="3">D6*O$4</f>
        <v>2141741.18554</v>
      </c>
      <c r="P6">
        <f t="shared" ref="P6:P55" si="4">E6*P$4</f>
        <v>2830770.0159200002</v>
      </c>
      <c r="Q6">
        <f t="shared" ref="Q6:Q55" si="5">F6*Q$4</f>
        <v>6883639.5296</v>
      </c>
      <c r="R6">
        <f t="shared" ref="R6:R55" si="6">G6*R$4</f>
        <v>3695676.8802</v>
      </c>
      <c r="S6">
        <f t="shared" ref="S6:S55" si="7">H6*S$4</f>
        <v>1279323.12579</v>
      </c>
      <c r="T6">
        <f t="shared" ref="T6:T55" si="8">I6*T$4</f>
        <v>2083210.9175799999</v>
      </c>
      <c r="U6">
        <f t="shared" ref="U6:U55" si="9">J6*U$4</f>
        <v>498347.32081800001</v>
      </c>
      <c r="V6">
        <f t="shared" ref="V6:V55" si="10">K6*V$4</f>
        <v>2681657.5166099998</v>
      </c>
      <c r="W6" s="10"/>
      <c r="X6" s="10">
        <v>2994860</v>
      </c>
      <c r="Y6" s="10">
        <v>2604530.9116199999</v>
      </c>
      <c r="Z6" s="10">
        <v>2141741.18554</v>
      </c>
      <c r="AA6" s="10">
        <v>1696510.3236400001</v>
      </c>
      <c r="AB6" s="10">
        <v>1316184.0676599999</v>
      </c>
      <c r="AC6" s="10">
        <v>1020148.14638</v>
      </c>
      <c r="AD6" s="10">
        <v>796743.56982000009</v>
      </c>
      <c r="AE6" s="10">
        <v>668707.31510000001</v>
      </c>
      <c r="AF6" s="10">
        <v>542216.40813999996</v>
      </c>
      <c r="AG6" s="10">
        <v>473550.25806000002</v>
      </c>
      <c r="AH6" s="10">
        <v>448896.57053999999</v>
      </c>
      <c r="AI6" s="10">
        <v>493717.64530000003</v>
      </c>
      <c r="AJ6" s="7">
        <v>397879.13043999998</v>
      </c>
      <c r="AK6" s="7">
        <v>340716.23761999997</v>
      </c>
      <c r="AL6" s="7">
        <v>668887.00669999991</v>
      </c>
      <c r="AM6" s="7">
        <v>1043678.7614000001</v>
      </c>
      <c r="AN6">
        <v>1353107.6965999999</v>
      </c>
      <c r="AO6">
        <v>1528923.9477599999</v>
      </c>
      <c r="AP6">
        <v>1662839.1126600001</v>
      </c>
      <c r="AQ6">
        <v>2168901.57088</v>
      </c>
      <c r="AR6">
        <v>2146757.5760399997</v>
      </c>
      <c r="AS6">
        <v>2110259.21722</v>
      </c>
      <c r="AT6">
        <v>2066905.6238599999</v>
      </c>
      <c r="AU6">
        <v>1997122.3910000001</v>
      </c>
      <c r="AV6">
        <v>1918926.5963999999</v>
      </c>
      <c r="AW6">
        <v>1844719.95532</v>
      </c>
      <c r="AX6">
        <v>1774274.8583999998</v>
      </c>
      <c r="AY6">
        <v>1854537.1063999999</v>
      </c>
      <c r="AZ6">
        <v>1770558.2371400001</v>
      </c>
      <c r="BA6">
        <v>1704440.7129200001</v>
      </c>
      <c r="BB6">
        <v>2202171.4706199998</v>
      </c>
      <c r="BC6">
        <v>2420113.4225399997</v>
      </c>
      <c r="BD6">
        <v>2192195.5919599999</v>
      </c>
      <c r="BE6">
        <v>2768020.3190199998</v>
      </c>
      <c r="BF6">
        <v>2431448.9676399999</v>
      </c>
      <c r="BG6">
        <v>2208835.03412</v>
      </c>
      <c r="BH6">
        <v>1989203.98116</v>
      </c>
      <c r="BI6">
        <v>2273224.5241200002</v>
      </c>
      <c r="BJ6">
        <v>2071026.55122</v>
      </c>
      <c r="BK6">
        <v>1827409.6645200001</v>
      </c>
      <c r="BL6">
        <v>2549296.7086399999</v>
      </c>
      <c r="BM6">
        <v>2640433.2933</v>
      </c>
      <c r="BN6">
        <v>2173768.21838</v>
      </c>
      <c r="BO6">
        <v>1805002.122</v>
      </c>
      <c r="BP6">
        <v>1732532.49972</v>
      </c>
      <c r="BQ6">
        <v>1456583.1044600001</v>
      </c>
      <c r="BR6">
        <v>1298397.59412</v>
      </c>
      <c r="BS6">
        <v>1354090.0106800001</v>
      </c>
      <c r="BT6">
        <v>1218542.64708</v>
      </c>
      <c r="BU6">
        <v>1132961.5277200001</v>
      </c>
      <c r="BV6">
        <v>1077122.36302</v>
      </c>
      <c r="BW6">
        <v>1102773.33892</v>
      </c>
    </row>
    <row r="7" spans="1:75">
      <c r="A7" s="8">
        <v>1967</v>
      </c>
      <c r="B7" s="7">
        <v>0.96359499999999998</v>
      </c>
      <c r="C7" s="7">
        <v>1.7364170000000001</v>
      </c>
      <c r="D7" s="7">
        <v>0.56647400000000003</v>
      </c>
      <c r="E7" s="7">
        <v>1.1223339999999999</v>
      </c>
      <c r="F7" s="7">
        <v>0.37962800000000002</v>
      </c>
      <c r="G7" s="7">
        <v>0.71492699999999998</v>
      </c>
      <c r="H7" s="7">
        <v>0.86313099999999998</v>
      </c>
      <c r="I7" s="7">
        <v>1.208799</v>
      </c>
      <c r="J7" s="7">
        <v>1.6043829999999999</v>
      </c>
      <c r="K7" s="7">
        <v>1.4447989999999999</v>
      </c>
      <c r="L7" s="23"/>
      <c r="M7">
        <f t="shared" si="1"/>
        <v>311187.22368</v>
      </c>
      <c r="N7">
        <f t="shared" si="2"/>
        <v>16346230.262090001</v>
      </c>
      <c r="O7">
        <f t="shared" si="3"/>
        <v>1696510.3236400001</v>
      </c>
      <c r="P7">
        <f t="shared" si="4"/>
        <v>3118023.4254399999</v>
      </c>
      <c r="Q7">
        <f t="shared" si="5"/>
        <v>5918856.0736000007</v>
      </c>
      <c r="R7">
        <f t="shared" si="6"/>
        <v>3513623.1298199999</v>
      </c>
      <c r="S7">
        <f t="shared" si="7"/>
        <v>1176870.48719</v>
      </c>
      <c r="T7">
        <f t="shared" si="8"/>
        <v>2583130.93506</v>
      </c>
      <c r="U7">
        <f t="shared" si="9"/>
        <v>526760.65285800002</v>
      </c>
      <c r="V7">
        <f t="shared" si="10"/>
        <v>2854243.76847</v>
      </c>
      <c r="W7" s="10"/>
      <c r="X7" s="10">
        <v>2778160</v>
      </c>
      <c r="Y7" s="10">
        <v>2763691.3427200001</v>
      </c>
      <c r="Z7" s="10">
        <v>2830770.0159200002</v>
      </c>
      <c r="AA7" s="10">
        <v>3118023.4254399999</v>
      </c>
      <c r="AB7" s="10">
        <v>3595266.8628800004</v>
      </c>
      <c r="AC7" s="10">
        <v>3788993.5159999998</v>
      </c>
      <c r="AD7" s="10">
        <v>3674255.5079999999</v>
      </c>
      <c r="AE7" s="10">
        <v>3550288.45248</v>
      </c>
      <c r="AF7" s="10">
        <v>3392766.7804799997</v>
      </c>
      <c r="AG7" s="10">
        <v>3219656.8527199998</v>
      </c>
      <c r="AH7" s="10">
        <v>3066580.2367199999</v>
      </c>
      <c r="AI7" s="10">
        <v>2912625.7221599999</v>
      </c>
      <c r="AJ7" s="7">
        <v>2737093.2388800001</v>
      </c>
      <c r="AK7" s="7">
        <v>2562230.2921600002</v>
      </c>
      <c r="AL7" s="7">
        <v>2422916.6807999997</v>
      </c>
      <c r="AM7" s="7">
        <v>2248162.08232</v>
      </c>
      <c r="AN7">
        <v>2076421.7874399999</v>
      </c>
      <c r="AO7">
        <v>1934455.0332800001</v>
      </c>
      <c r="AP7">
        <v>1809640.6389599999</v>
      </c>
      <c r="AQ7">
        <v>1682423.1362400001</v>
      </c>
      <c r="AR7">
        <v>1565607.0645599999</v>
      </c>
      <c r="AS7">
        <v>1472716.5068000001</v>
      </c>
      <c r="AT7">
        <v>1384334.9027200001</v>
      </c>
      <c r="AU7">
        <v>1304268.33152</v>
      </c>
      <c r="AV7">
        <v>1208027.3128</v>
      </c>
      <c r="AW7">
        <v>1118064.9356799999</v>
      </c>
      <c r="AX7">
        <v>1049797.21</v>
      </c>
      <c r="AY7">
        <v>1021879.4801599999</v>
      </c>
      <c r="AZ7">
        <v>996187.05648000003</v>
      </c>
      <c r="BA7">
        <v>969111.10911999992</v>
      </c>
      <c r="BB7">
        <v>964196.54408000002</v>
      </c>
      <c r="BC7">
        <v>951633.70455999998</v>
      </c>
      <c r="BD7">
        <v>933072.81759999995</v>
      </c>
      <c r="BE7">
        <v>923235.35303999996</v>
      </c>
      <c r="BF7">
        <v>902985.34479999996</v>
      </c>
      <c r="BG7">
        <v>898395.82447999995</v>
      </c>
      <c r="BH7">
        <v>904571.67415999994</v>
      </c>
      <c r="BI7">
        <v>922382.45791999996</v>
      </c>
      <c r="BJ7">
        <v>951800.39416000003</v>
      </c>
      <c r="BK7">
        <v>991600.31432</v>
      </c>
      <c r="BL7">
        <v>1033636.65328</v>
      </c>
      <c r="BM7">
        <v>1077381.56064</v>
      </c>
      <c r="BN7">
        <v>1094595.04</v>
      </c>
      <c r="BO7">
        <v>1123754.60736</v>
      </c>
      <c r="BP7">
        <v>1158401.0407199999</v>
      </c>
      <c r="BQ7">
        <v>1212525.15384</v>
      </c>
      <c r="BR7">
        <v>1254172.5504000001</v>
      </c>
      <c r="BS7">
        <v>1280904.0059200001</v>
      </c>
      <c r="BT7">
        <v>1297075.6752800001</v>
      </c>
      <c r="BU7">
        <v>1323815.4652799999</v>
      </c>
      <c r="BV7">
        <v>1340320.5138400001</v>
      </c>
      <c r="BW7">
        <v>1342131.8741600001</v>
      </c>
    </row>
    <row r="8" spans="1:75">
      <c r="A8" s="8">
        <v>1968</v>
      </c>
      <c r="B8" s="7">
        <v>0.969943</v>
      </c>
      <c r="C8" s="7">
        <v>1.8630249999999999</v>
      </c>
      <c r="D8" s="7">
        <v>0.43948100000000001</v>
      </c>
      <c r="E8" s="7">
        <v>1.2941180000000001</v>
      </c>
      <c r="F8" s="7">
        <v>0.334951</v>
      </c>
      <c r="G8" s="7">
        <v>0.64954100000000004</v>
      </c>
      <c r="H8" s="7">
        <v>0.79389900000000002</v>
      </c>
      <c r="I8" s="7">
        <v>1.3220419999999999</v>
      </c>
      <c r="J8" s="7">
        <v>1.5848390000000001</v>
      </c>
      <c r="K8" s="7">
        <v>1.468062</v>
      </c>
      <c r="L8" s="23"/>
      <c r="M8">
        <f t="shared" si="1"/>
        <v>313237.272192</v>
      </c>
      <c r="N8">
        <f t="shared" si="2"/>
        <v>17538088.854249999</v>
      </c>
      <c r="O8">
        <f t="shared" si="3"/>
        <v>1316184.0676599999</v>
      </c>
      <c r="P8">
        <f t="shared" si="4"/>
        <v>3595266.8628800004</v>
      </c>
      <c r="Q8">
        <f t="shared" si="5"/>
        <v>5222288.0312000001</v>
      </c>
      <c r="R8">
        <f t="shared" si="6"/>
        <v>3192273.1710600001</v>
      </c>
      <c r="S8">
        <f t="shared" si="7"/>
        <v>1082473.34751</v>
      </c>
      <c r="T8">
        <f t="shared" si="8"/>
        <v>2825124.4314799998</v>
      </c>
      <c r="U8">
        <f t="shared" si="9"/>
        <v>520343.84951400006</v>
      </c>
      <c r="V8">
        <f t="shared" si="10"/>
        <v>2900200.5228599999</v>
      </c>
      <c r="W8" s="10"/>
      <c r="X8" s="10">
        <v>15591200</v>
      </c>
      <c r="Y8" s="10">
        <v>8445581.536799999</v>
      </c>
      <c r="Z8" s="10">
        <v>6883639.5296</v>
      </c>
      <c r="AA8" s="10">
        <v>5918856.0736000007</v>
      </c>
      <c r="AB8" s="10">
        <v>5222288.0312000001</v>
      </c>
      <c r="AC8" s="10">
        <v>4622572.5232000006</v>
      </c>
      <c r="AD8" s="10">
        <v>4177272.2600000002</v>
      </c>
      <c r="AE8" s="10">
        <v>3782799.3088000002</v>
      </c>
      <c r="AF8" s="10">
        <v>3462587.2431999999</v>
      </c>
      <c r="AG8" s="10">
        <v>3199750.7936</v>
      </c>
      <c r="AH8" s="10">
        <v>2969577.9079999998</v>
      </c>
      <c r="AI8" s="10">
        <v>2769620.7679999997</v>
      </c>
      <c r="AJ8" s="7">
        <v>2562865.8648000001</v>
      </c>
      <c r="AK8" s="7">
        <v>2366401.1535999998</v>
      </c>
      <c r="AL8" s="7">
        <v>2194211.9408</v>
      </c>
      <c r="AM8" s="7">
        <v>2006930.4464</v>
      </c>
      <c r="AN8">
        <v>1841819.6384000001</v>
      </c>
      <c r="AO8">
        <v>1685845.2736</v>
      </c>
      <c r="AP8">
        <v>1519315.6664</v>
      </c>
      <c r="AQ8">
        <v>1346066.2519999999</v>
      </c>
      <c r="AR8">
        <v>1166658.3136</v>
      </c>
      <c r="AS8">
        <v>1020225.7631999999</v>
      </c>
      <c r="AT8">
        <v>855224.09360000002</v>
      </c>
      <c r="AU8">
        <v>720173.11920000007</v>
      </c>
      <c r="AV8">
        <v>582471.64080000005</v>
      </c>
      <c r="AW8">
        <v>472304.22159999999</v>
      </c>
      <c r="AX8">
        <v>430130.02559999999</v>
      </c>
      <c r="AY8">
        <v>411155.53519999998</v>
      </c>
      <c r="AZ8">
        <v>389327.85519999999</v>
      </c>
      <c r="BA8">
        <v>370041.54080000002</v>
      </c>
      <c r="BB8">
        <v>342710.16720000003</v>
      </c>
      <c r="BC8">
        <v>323673.31200000003</v>
      </c>
      <c r="BD8">
        <v>301050.48080000002</v>
      </c>
      <c r="BE8">
        <v>287829.14320000005</v>
      </c>
      <c r="BF8">
        <v>267124.02960000001</v>
      </c>
      <c r="BG8">
        <v>258782.73760000002</v>
      </c>
      <c r="BH8">
        <v>259546.70639999997</v>
      </c>
      <c r="BI8">
        <v>276478.74959999998</v>
      </c>
      <c r="BJ8">
        <v>302874.65119999996</v>
      </c>
      <c r="BK8">
        <v>346545.60240000003</v>
      </c>
      <c r="BL8">
        <v>394847.14</v>
      </c>
      <c r="BM8">
        <v>433622.45439999999</v>
      </c>
      <c r="BN8">
        <v>482953.01120000001</v>
      </c>
      <c r="BO8">
        <v>538099.08559999999</v>
      </c>
      <c r="BP8">
        <v>594398.90879999998</v>
      </c>
      <c r="BQ8">
        <v>654471.80240000004</v>
      </c>
      <c r="BR8">
        <v>713936.63919999998</v>
      </c>
      <c r="BS8">
        <v>745711.50480000011</v>
      </c>
      <c r="BT8">
        <v>788509.34880000004</v>
      </c>
      <c r="BU8">
        <v>842049.52960000001</v>
      </c>
      <c r="BV8">
        <v>878392.61679999996</v>
      </c>
      <c r="BW8">
        <v>857859.00640000007</v>
      </c>
    </row>
    <row r="9" spans="1:75">
      <c r="A9" s="8">
        <v>1969</v>
      </c>
      <c r="B9" s="7">
        <v>0.99638700000000002</v>
      </c>
      <c r="C9" s="7">
        <v>1.989689</v>
      </c>
      <c r="D9" s="7">
        <v>0.34063300000000002</v>
      </c>
      <c r="E9" s="7">
        <v>1.36385</v>
      </c>
      <c r="F9" s="7">
        <v>0.29648600000000003</v>
      </c>
      <c r="G9" s="7">
        <v>0.61908700000000005</v>
      </c>
      <c r="H9" s="7">
        <v>0.75597099999999995</v>
      </c>
      <c r="I9" s="7">
        <v>0.96771799999999997</v>
      </c>
      <c r="J9" s="7">
        <v>1.541283</v>
      </c>
      <c r="K9" s="7">
        <v>1.4626399999999999</v>
      </c>
      <c r="L9" s="23"/>
      <c r="M9">
        <f t="shared" si="1"/>
        <v>321777.20332800003</v>
      </c>
      <c r="N9">
        <f t="shared" si="2"/>
        <v>18730474.617529999</v>
      </c>
      <c r="O9">
        <f t="shared" si="3"/>
        <v>1020148.14638</v>
      </c>
      <c r="P9">
        <f t="shared" si="4"/>
        <v>3788993.5159999998</v>
      </c>
      <c r="Q9">
        <f t="shared" si="5"/>
        <v>4622572.5232000006</v>
      </c>
      <c r="R9">
        <f t="shared" si="6"/>
        <v>3042602.1154200002</v>
      </c>
      <c r="S9">
        <f t="shared" si="7"/>
        <v>1030758.8987899999</v>
      </c>
      <c r="T9">
        <f t="shared" si="8"/>
        <v>2067955.3029199999</v>
      </c>
      <c r="U9">
        <f t="shared" si="9"/>
        <v>506043.28225799999</v>
      </c>
      <c r="V9">
        <f t="shared" si="10"/>
        <v>2889489.1991999997</v>
      </c>
      <c r="W9" s="10"/>
      <c r="X9" s="10">
        <v>4914660</v>
      </c>
      <c r="Y9" s="10">
        <v>3569419.2648</v>
      </c>
      <c r="Z9" s="10">
        <v>3695676.8802</v>
      </c>
      <c r="AA9" s="10">
        <v>3513623.1298199999</v>
      </c>
      <c r="AB9" s="10">
        <v>3192273.1710600001</v>
      </c>
      <c r="AC9" s="10">
        <v>3042602.1154200002</v>
      </c>
      <c r="AD9" s="10">
        <v>2900131.0366799999</v>
      </c>
      <c r="AE9" s="10">
        <v>2759537.35806</v>
      </c>
      <c r="AF9" s="10">
        <v>2587509.5140799996</v>
      </c>
      <c r="AG9" s="10">
        <v>2513401.3559400002</v>
      </c>
      <c r="AH9" s="10">
        <v>2359601.9859000002</v>
      </c>
      <c r="AI9" s="10">
        <v>2226842.27532</v>
      </c>
      <c r="AJ9" s="7">
        <v>2043972.69138</v>
      </c>
      <c r="AK9" s="7">
        <v>1943792.2619400001</v>
      </c>
      <c r="AL9" s="7">
        <v>1792332.27006</v>
      </c>
      <c r="AM9" s="7">
        <v>1659130.2400799999</v>
      </c>
      <c r="AN9">
        <v>1499836.2801600001</v>
      </c>
      <c r="AO9">
        <v>1336590.9335999999</v>
      </c>
      <c r="AP9">
        <v>1220177.38218</v>
      </c>
      <c r="AQ9">
        <v>1099276.74618</v>
      </c>
      <c r="AR9">
        <v>974208.47850000008</v>
      </c>
      <c r="AS9">
        <v>864464.12069999997</v>
      </c>
      <c r="AT9">
        <v>751584.20981999999</v>
      </c>
      <c r="AU9">
        <v>664304.76288000005</v>
      </c>
      <c r="AV9">
        <v>575998.152</v>
      </c>
      <c r="AW9">
        <v>517228.64772000001</v>
      </c>
      <c r="AX9">
        <v>521243.92494</v>
      </c>
      <c r="AY9">
        <v>540774.78378000006</v>
      </c>
      <c r="AZ9">
        <v>529957.61711999995</v>
      </c>
      <c r="BA9">
        <v>507232.22927999997</v>
      </c>
      <c r="BB9">
        <v>506323.01718000002</v>
      </c>
      <c r="BC9">
        <v>511517.81280000001</v>
      </c>
      <c r="BD9">
        <v>487396.66151999997</v>
      </c>
      <c r="BE9">
        <v>468755.35614000005</v>
      </c>
      <c r="BF9">
        <v>469841.49600000004</v>
      </c>
      <c r="BG9">
        <v>470524.63374000002</v>
      </c>
      <c r="BH9">
        <v>492237.60161999997</v>
      </c>
      <c r="BI9">
        <v>526443.63522000005</v>
      </c>
      <c r="BJ9">
        <v>565947.67229999998</v>
      </c>
      <c r="BK9">
        <v>611201.86158000003</v>
      </c>
      <c r="BL9">
        <v>636001.23593999993</v>
      </c>
      <c r="BM9">
        <v>647349.18588</v>
      </c>
      <c r="BN9">
        <v>663803.4675599999</v>
      </c>
      <c r="BO9">
        <v>689059.90529999998</v>
      </c>
      <c r="BP9">
        <v>716930.94215999998</v>
      </c>
      <c r="BQ9">
        <v>742295.50242000003</v>
      </c>
      <c r="BR9">
        <v>768397.26167999988</v>
      </c>
      <c r="BS9">
        <v>790945.72175999999</v>
      </c>
      <c r="BT9">
        <v>803183.22515999991</v>
      </c>
      <c r="BU9">
        <v>833482.10405999993</v>
      </c>
      <c r="BV9">
        <v>845360.83727999998</v>
      </c>
      <c r="BW9">
        <v>833722.92240000004</v>
      </c>
    </row>
    <row r="10" spans="1:75">
      <c r="A10" s="8">
        <v>1970</v>
      </c>
      <c r="B10" s="7">
        <v>1.039698</v>
      </c>
      <c r="C10" s="7">
        <v>2.1171769999999999</v>
      </c>
      <c r="D10" s="7">
        <v>0.26603700000000002</v>
      </c>
      <c r="E10" s="7">
        <v>1.3225499999999999</v>
      </c>
      <c r="F10" s="7">
        <v>0.26792500000000002</v>
      </c>
      <c r="G10" s="7">
        <v>0.59009800000000001</v>
      </c>
      <c r="H10" s="7">
        <v>0.69277500000000003</v>
      </c>
      <c r="I10" s="7">
        <v>0.71207299999999996</v>
      </c>
      <c r="J10" s="7">
        <v>1.49579</v>
      </c>
      <c r="K10" s="7">
        <v>1.4333290000000001</v>
      </c>
      <c r="L10" s="23"/>
      <c r="M10">
        <f t="shared" si="1"/>
        <v>335764.230912</v>
      </c>
      <c r="N10">
        <f t="shared" si="2"/>
        <v>19930617.327289999</v>
      </c>
      <c r="O10">
        <f t="shared" si="3"/>
        <v>796743.56982000009</v>
      </c>
      <c r="P10">
        <f t="shared" si="4"/>
        <v>3674255.5079999999</v>
      </c>
      <c r="Q10">
        <f t="shared" si="5"/>
        <v>4177272.2600000002</v>
      </c>
      <c r="R10">
        <f t="shared" si="6"/>
        <v>2900131.0366799999</v>
      </c>
      <c r="S10">
        <f t="shared" si="7"/>
        <v>944591.78474999999</v>
      </c>
      <c r="T10">
        <f t="shared" si="8"/>
        <v>1521657.2766199999</v>
      </c>
      <c r="U10">
        <f t="shared" si="9"/>
        <v>491106.74754000001</v>
      </c>
      <c r="V10">
        <f t="shared" si="10"/>
        <v>2831584.4393700003</v>
      </c>
      <c r="W10" s="7"/>
      <c r="X10" s="7">
        <v>1363490</v>
      </c>
      <c r="Y10" s="7">
        <v>1422230.51269</v>
      </c>
      <c r="Z10" s="7">
        <v>1279323.12579</v>
      </c>
      <c r="AA10" s="7">
        <v>1176870.48719</v>
      </c>
      <c r="AB10" s="7">
        <v>1082473.34751</v>
      </c>
      <c r="AC10" s="7">
        <v>1030758.8987899999</v>
      </c>
      <c r="AD10" s="7">
        <v>944591.78474999999</v>
      </c>
      <c r="AE10" s="7">
        <v>897859.52849000006</v>
      </c>
      <c r="AF10" s="7">
        <v>826456.28417</v>
      </c>
      <c r="AG10" s="7">
        <v>765167.40867000003</v>
      </c>
      <c r="AH10" s="7">
        <v>703410.85609999998</v>
      </c>
      <c r="AI10" s="7">
        <v>648700.81984999997</v>
      </c>
      <c r="AJ10" s="7">
        <v>580096.82050000003</v>
      </c>
      <c r="AK10" s="7">
        <v>517803.05287000001</v>
      </c>
      <c r="AL10" s="7">
        <v>458068.55596999999</v>
      </c>
      <c r="AM10" s="7">
        <v>414293.70952000003</v>
      </c>
      <c r="AN10">
        <v>377658.09670999995</v>
      </c>
      <c r="AO10">
        <v>322050.88403999998</v>
      </c>
      <c r="AP10">
        <v>303428.33762000001</v>
      </c>
      <c r="AQ10">
        <v>295897.78234999999</v>
      </c>
      <c r="AR10">
        <v>277219.33283999999</v>
      </c>
      <c r="AS10">
        <v>243318.88097</v>
      </c>
      <c r="AT10">
        <v>231144.27876000002</v>
      </c>
      <c r="AU10">
        <v>226624.30940999999</v>
      </c>
      <c r="AV10">
        <v>210239.25008</v>
      </c>
      <c r="AW10">
        <v>195689.44829</v>
      </c>
      <c r="AX10">
        <v>217203.95699999999</v>
      </c>
      <c r="AY10">
        <v>226427.96685</v>
      </c>
      <c r="AZ10">
        <v>195858.52104999998</v>
      </c>
      <c r="BA10">
        <v>203399.98423999999</v>
      </c>
      <c r="BB10">
        <v>199169.07477000001</v>
      </c>
      <c r="BC10">
        <v>201838.78818999999</v>
      </c>
      <c r="BD10">
        <v>196143.49046</v>
      </c>
      <c r="BE10">
        <v>219414.17429000002</v>
      </c>
      <c r="BF10">
        <v>197286.09507999997</v>
      </c>
      <c r="BG10">
        <v>204249.43850999998</v>
      </c>
      <c r="BH10">
        <v>198415.06480000002</v>
      </c>
      <c r="BI10">
        <v>208915.30129</v>
      </c>
      <c r="BJ10">
        <v>221993.89737000002</v>
      </c>
      <c r="BK10">
        <v>232466.86406000002</v>
      </c>
      <c r="BL10">
        <v>228546.83030999999</v>
      </c>
      <c r="BM10">
        <v>252680.60331000001</v>
      </c>
      <c r="BN10">
        <v>240331.47438</v>
      </c>
      <c r="BO10">
        <v>243872.45791</v>
      </c>
      <c r="BP10">
        <v>248249.26081000001</v>
      </c>
      <c r="BQ10">
        <v>244715.09472999998</v>
      </c>
      <c r="BR10">
        <v>252139.29777999999</v>
      </c>
      <c r="BS10">
        <v>251893.86958</v>
      </c>
      <c r="BT10">
        <v>252676.51284000001</v>
      </c>
      <c r="BU10">
        <v>256330.66603999998</v>
      </c>
      <c r="BV10">
        <v>262387.28862000001</v>
      </c>
      <c r="BW10">
        <v>248136.09114</v>
      </c>
    </row>
    <row r="11" spans="1:75">
      <c r="A11" s="8">
        <v>1971</v>
      </c>
      <c r="B11" s="7">
        <v>1.101043</v>
      </c>
      <c r="C11" s="7">
        <v>2.165111</v>
      </c>
      <c r="D11" s="7">
        <v>0.22328500000000001</v>
      </c>
      <c r="E11" s="7">
        <v>1.277928</v>
      </c>
      <c r="F11" s="7">
        <v>0.24262400000000001</v>
      </c>
      <c r="G11" s="7">
        <v>0.56149099999999996</v>
      </c>
      <c r="H11" s="7">
        <v>0.658501</v>
      </c>
      <c r="I11" s="7">
        <v>0.76022500000000004</v>
      </c>
      <c r="J11" s="7">
        <v>1.444385</v>
      </c>
      <c r="K11" s="7">
        <v>1.405127</v>
      </c>
      <c r="L11" s="23"/>
      <c r="M11">
        <f t="shared" si="1"/>
        <v>355575.23059200001</v>
      </c>
      <c r="N11">
        <f t="shared" si="2"/>
        <v>20381856.978470001</v>
      </c>
      <c r="O11">
        <f t="shared" si="3"/>
        <v>668707.31510000001</v>
      </c>
      <c r="P11">
        <f t="shared" si="4"/>
        <v>3550288.45248</v>
      </c>
      <c r="Q11">
        <f t="shared" si="5"/>
        <v>3782799.3088000002</v>
      </c>
      <c r="R11">
        <f t="shared" si="6"/>
        <v>2759537.35806</v>
      </c>
      <c r="S11">
        <f t="shared" si="7"/>
        <v>897859.52849000006</v>
      </c>
      <c r="T11">
        <f t="shared" si="8"/>
        <v>1624555.2115</v>
      </c>
      <c r="U11">
        <f t="shared" si="9"/>
        <v>474229.14951000002</v>
      </c>
      <c r="V11">
        <f t="shared" si="10"/>
        <v>2775870.5423099999</v>
      </c>
      <c r="W11" s="10"/>
      <c r="X11" s="10">
        <v>2136940</v>
      </c>
      <c r="Y11" s="10">
        <v>2660253.0996599998</v>
      </c>
      <c r="Z11" s="10">
        <v>2083210.9175799999</v>
      </c>
      <c r="AA11" s="10">
        <v>2583130.93506</v>
      </c>
      <c r="AB11" s="10">
        <v>2825124.4314799998</v>
      </c>
      <c r="AC11" s="10">
        <v>2067955.3029199999</v>
      </c>
      <c r="AD11" s="10">
        <v>1521657.2766199999</v>
      </c>
      <c r="AE11" s="10">
        <v>1624555.2115</v>
      </c>
      <c r="AF11" s="10">
        <v>1544105.8313200001</v>
      </c>
      <c r="AG11" s="10">
        <v>1414318.78042</v>
      </c>
      <c r="AH11" s="10">
        <v>1305638.2859</v>
      </c>
      <c r="AI11" s="10">
        <v>813131.31328</v>
      </c>
      <c r="AJ11" s="7">
        <v>516919.37517999997</v>
      </c>
      <c r="AK11" s="7">
        <v>436598.21139999997</v>
      </c>
      <c r="AL11" s="7">
        <v>669578.09489999991</v>
      </c>
      <c r="AM11" s="7">
        <v>1056394.15206</v>
      </c>
      <c r="AN11">
        <v>1002190.66896</v>
      </c>
      <c r="AO11">
        <v>905406.51942000003</v>
      </c>
      <c r="AP11">
        <v>1099483.41022</v>
      </c>
      <c r="AQ11">
        <v>1970538.6191400001</v>
      </c>
      <c r="AR11">
        <v>2853338.4503000001</v>
      </c>
      <c r="AS11">
        <v>2443469.0844200002</v>
      </c>
      <c r="AT11">
        <v>3450339.6519800001</v>
      </c>
      <c r="AU11">
        <v>2777447.1631399998</v>
      </c>
      <c r="AV11">
        <v>2400255.88374</v>
      </c>
      <c r="AW11">
        <v>2072301.8388799999</v>
      </c>
      <c r="AX11">
        <v>2785817.55712</v>
      </c>
      <c r="AY11">
        <v>2444118.7141800001</v>
      </c>
      <c r="AZ11">
        <v>2015734.90014</v>
      </c>
      <c r="BA11">
        <v>2787888.2519799997</v>
      </c>
      <c r="BB11">
        <v>2100936.83488</v>
      </c>
      <c r="BC11">
        <v>1829818.9832000001</v>
      </c>
      <c r="BD11">
        <v>2535466.4883599998</v>
      </c>
      <c r="BE11">
        <v>3130151.2470800001</v>
      </c>
      <c r="BF11">
        <v>2542633.7851200001</v>
      </c>
      <c r="BG11">
        <v>3428029.9983799998</v>
      </c>
      <c r="BH11">
        <v>3328807.6003</v>
      </c>
      <c r="BI11">
        <v>4009914.4864999996</v>
      </c>
      <c r="BJ11">
        <v>3149511.9234800003</v>
      </c>
      <c r="BK11">
        <v>3955657.5799000002</v>
      </c>
      <c r="BL11">
        <v>2982027.1140400004</v>
      </c>
      <c r="BM11">
        <v>3021793.4304999998</v>
      </c>
      <c r="BN11">
        <v>3511015.9263399998</v>
      </c>
      <c r="BO11">
        <v>2637640.0005800002</v>
      </c>
      <c r="BP11">
        <v>3380942.5254799998</v>
      </c>
      <c r="BQ11">
        <v>3960918.7261800002</v>
      </c>
      <c r="BR11">
        <v>4553936.6716999998</v>
      </c>
      <c r="BS11">
        <v>5237088.6094800001</v>
      </c>
      <c r="BT11">
        <v>5793643.9477799991</v>
      </c>
      <c r="BU11">
        <v>6420934.1370199993</v>
      </c>
      <c r="BV11">
        <v>4921421.9696199996</v>
      </c>
      <c r="BW11">
        <v>4925022.7135200007</v>
      </c>
    </row>
    <row r="12" spans="1:75">
      <c r="A12" s="8">
        <v>1972</v>
      </c>
      <c r="B12" s="7">
        <v>1.213465</v>
      </c>
      <c r="C12" s="7">
        <v>2.2438690000000001</v>
      </c>
      <c r="D12" s="7">
        <v>0.18104899999999999</v>
      </c>
      <c r="E12" s="7">
        <v>1.221228</v>
      </c>
      <c r="F12" s="7">
        <v>0.22208600000000001</v>
      </c>
      <c r="G12" s="7">
        <v>0.52648799999999996</v>
      </c>
      <c r="H12" s="7">
        <v>0.60613300000000003</v>
      </c>
      <c r="I12" s="7">
        <v>0.72257800000000005</v>
      </c>
      <c r="J12" s="7">
        <v>1.384325</v>
      </c>
      <c r="K12" s="7">
        <v>1.369057</v>
      </c>
      <c r="L12" s="23"/>
      <c r="M12">
        <f t="shared" si="1"/>
        <v>391881.24096000002</v>
      </c>
      <c r="N12">
        <f t="shared" si="2"/>
        <v>21123266.676130001</v>
      </c>
      <c r="O12">
        <f t="shared" si="3"/>
        <v>542216.40813999996</v>
      </c>
      <c r="P12">
        <f t="shared" si="4"/>
        <v>3392766.7804799997</v>
      </c>
      <c r="Q12">
        <f t="shared" si="5"/>
        <v>3462587.2431999999</v>
      </c>
      <c r="R12">
        <f t="shared" si="6"/>
        <v>2587509.5140799996</v>
      </c>
      <c r="S12">
        <f t="shared" si="7"/>
        <v>826456.28417</v>
      </c>
      <c r="T12">
        <f t="shared" si="8"/>
        <v>1544105.8313200001</v>
      </c>
      <c r="U12">
        <f t="shared" si="9"/>
        <v>454509.88994999998</v>
      </c>
      <c r="V12">
        <f t="shared" si="10"/>
        <v>2704613.17521</v>
      </c>
      <c r="W12" s="7"/>
      <c r="X12" s="7">
        <v>328326</v>
      </c>
      <c r="Y12" s="7">
        <v>416363.99029200006</v>
      </c>
      <c r="Z12" s="7">
        <v>498347.32081800001</v>
      </c>
      <c r="AA12" s="7">
        <v>526760.65285800002</v>
      </c>
      <c r="AB12" s="7">
        <v>520343.84951400006</v>
      </c>
      <c r="AC12" s="7">
        <v>506043.28225799999</v>
      </c>
      <c r="AD12" s="7">
        <v>491106.74754000001</v>
      </c>
      <c r="AE12" s="7">
        <v>474229.14951000002</v>
      </c>
      <c r="AF12" s="7">
        <v>454509.88994999998</v>
      </c>
      <c r="AG12" s="7">
        <v>433377.18696000002</v>
      </c>
      <c r="AH12" s="7">
        <v>412889.972886</v>
      </c>
      <c r="AI12" s="7">
        <v>391450.94173800002</v>
      </c>
      <c r="AJ12" s="7">
        <v>370987.03881</v>
      </c>
      <c r="AK12" s="7">
        <v>351422.09247000003</v>
      </c>
      <c r="AL12" s="7">
        <v>334103.55262200005</v>
      </c>
      <c r="AM12" s="7">
        <v>315694.31380200002</v>
      </c>
      <c r="AN12">
        <v>297632.77221600001</v>
      </c>
      <c r="AO12">
        <v>280653.39312600001</v>
      </c>
      <c r="AP12">
        <v>264353.64885599999</v>
      </c>
      <c r="AQ12">
        <v>249767.43798000002</v>
      </c>
      <c r="AR12">
        <v>234390.94642200001</v>
      </c>
      <c r="AS12">
        <v>220687.60415999999</v>
      </c>
      <c r="AT12">
        <v>207122.15881800003</v>
      </c>
      <c r="AU12">
        <v>194533.48332600002</v>
      </c>
      <c r="AV12">
        <v>182048.23052400001</v>
      </c>
      <c r="AW12">
        <v>172028.377656</v>
      </c>
      <c r="AX12">
        <v>168231.615792</v>
      </c>
      <c r="AY12">
        <v>166942.60791599998</v>
      </c>
      <c r="AZ12">
        <v>165988.820886</v>
      </c>
      <c r="BA12">
        <v>163231.210812</v>
      </c>
      <c r="BB12">
        <v>160451.602896</v>
      </c>
      <c r="BC12">
        <v>159474.17639400001</v>
      </c>
      <c r="BD12">
        <v>159976.84350000002</v>
      </c>
      <c r="BE12">
        <v>160129.18676399998</v>
      </c>
      <c r="BF12">
        <v>159444.95538</v>
      </c>
      <c r="BG12">
        <v>161306.89212599999</v>
      </c>
      <c r="BH12">
        <v>163833.03237</v>
      </c>
      <c r="BI12">
        <v>167240.72792400001</v>
      </c>
      <c r="BJ12">
        <v>171958.77254400001</v>
      </c>
      <c r="BK12">
        <v>177189.66237600002</v>
      </c>
      <c r="BL12">
        <v>181711.69637399999</v>
      </c>
      <c r="BM12">
        <v>184928.30619600002</v>
      </c>
      <c r="BN12">
        <v>188439.42444</v>
      </c>
      <c r="BO12">
        <v>192583.88353799999</v>
      </c>
      <c r="BP12">
        <v>196685.660256</v>
      </c>
      <c r="BQ12">
        <v>200432.84489400001</v>
      </c>
      <c r="BR12">
        <v>202392.62278800001</v>
      </c>
      <c r="BS12">
        <v>205102.29726600001</v>
      </c>
      <c r="BT12">
        <v>207425.20371600002</v>
      </c>
      <c r="BU12">
        <v>210427.74498600001</v>
      </c>
      <c r="BV12">
        <v>212535.26957999999</v>
      </c>
      <c r="BW12">
        <v>196903.340394</v>
      </c>
    </row>
    <row r="13" spans="1:75">
      <c r="A13" s="8">
        <v>1973</v>
      </c>
      <c r="B13" s="7">
        <v>1.3016399999999999</v>
      </c>
      <c r="C13" s="7">
        <v>2.3272360000000001</v>
      </c>
      <c r="D13" s="7">
        <v>0.15812100000000001</v>
      </c>
      <c r="E13" s="7">
        <v>1.158917</v>
      </c>
      <c r="F13" s="7">
        <v>0.20522799999999999</v>
      </c>
      <c r="G13" s="7">
        <v>0.511409</v>
      </c>
      <c r="H13" s="7">
        <v>0.56118299999999999</v>
      </c>
      <c r="I13" s="7">
        <v>0.66184299999999996</v>
      </c>
      <c r="J13" s="7">
        <v>1.31996</v>
      </c>
      <c r="K13" s="7">
        <v>1.339234</v>
      </c>
      <c r="L13" s="23"/>
      <c r="M13">
        <f t="shared" si="1"/>
        <v>420356.82815999998</v>
      </c>
      <c r="N13">
        <f t="shared" si="2"/>
        <v>21908064.439720001</v>
      </c>
      <c r="O13">
        <f t="shared" si="3"/>
        <v>473550.25806000002</v>
      </c>
      <c r="P13">
        <f t="shared" si="4"/>
        <v>3219656.8527199998</v>
      </c>
      <c r="Q13">
        <f t="shared" si="5"/>
        <v>3199750.7936</v>
      </c>
      <c r="R13">
        <f t="shared" si="6"/>
        <v>2513401.3559400002</v>
      </c>
      <c r="S13">
        <f t="shared" si="7"/>
        <v>765167.40867000003</v>
      </c>
      <c r="T13">
        <f t="shared" si="8"/>
        <v>1414318.78042</v>
      </c>
      <c r="U13">
        <f t="shared" si="9"/>
        <v>433377.18696000002</v>
      </c>
      <c r="V13">
        <f t="shared" si="10"/>
        <v>2645696.9440200003</v>
      </c>
      <c r="W13" s="7"/>
      <c r="X13" s="7">
        <v>1975530</v>
      </c>
      <c r="Y13" s="7">
        <v>2403785.3933999999</v>
      </c>
      <c r="Z13" s="7">
        <v>2681657.5166099998</v>
      </c>
      <c r="AA13" s="7">
        <v>2854243.76847</v>
      </c>
      <c r="AB13" s="7">
        <v>2900200.5228599999</v>
      </c>
      <c r="AC13" s="7">
        <v>2889489.1991999997</v>
      </c>
      <c r="AD13" s="7">
        <v>2831584.4393700003</v>
      </c>
      <c r="AE13" s="7">
        <v>2775870.5423099999</v>
      </c>
      <c r="AF13" s="7">
        <v>2704613.17521</v>
      </c>
      <c r="AG13" s="7">
        <v>2645696.9440200003</v>
      </c>
      <c r="AH13" s="7">
        <v>2556485.9602800002</v>
      </c>
      <c r="AI13" s="7">
        <v>2479487.7030000002</v>
      </c>
      <c r="AJ13" s="7">
        <v>2387586.0474</v>
      </c>
      <c r="AK13" s="7">
        <v>2287964.0205600001</v>
      </c>
      <c r="AL13" s="7">
        <v>2181433.56531</v>
      </c>
      <c r="AM13" s="7">
        <v>2064768.6411599999</v>
      </c>
      <c r="AN13">
        <v>1927560.1805399999</v>
      </c>
      <c r="AO13">
        <v>1784435.0075699999</v>
      </c>
      <c r="AP13">
        <v>1637259.9981</v>
      </c>
      <c r="AQ13">
        <v>1504322.6333399999</v>
      </c>
      <c r="AR13">
        <v>1384986.79263</v>
      </c>
      <c r="AS13">
        <v>1271480.74095</v>
      </c>
      <c r="AT13">
        <v>1160372.98269</v>
      </c>
      <c r="AU13">
        <v>1060233.36699</v>
      </c>
      <c r="AV13">
        <v>963274.35459</v>
      </c>
      <c r="AW13">
        <v>889685.86208999995</v>
      </c>
      <c r="AX13">
        <v>857137.02980999998</v>
      </c>
      <c r="AY13">
        <v>840153.39839999995</v>
      </c>
      <c r="AZ13">
        <v>824313.59886000003</v>
      </c>
      <c r="BA13">
        <v>810923.45652000001</v>
      </c>
      <c r="BB13">
        <v>798355.13465999998</v>
      </c>
      <c r="BC13">
        <v>787918.40966999996</v>
      </c>
      <c r="BD13">
        <v>778593.90807</v>
      </c>
      <c r="BE13">
        <v>773888.19561000005</v>
      </c>
      <c r="BF13">
        <v>768996.78333000001</v>
      </c>
      <c r="BG13">
        <v>769640.80611</v>
      </c>
      <c r="BH13">
        <v>779245.83296999999</v>
      </c>
      <c r="BI13">
        <v>795804.72542999999</v>
      </c>
      <c r="BJ13">
        <v>824102.21715000004</v>
      </c>
      <c r="BK13">
        <v>859452.35097000003</v>
      </c>
      <c r="BL13">
        <v>885189.55581000005</v>
      </c>
      <c r="BM13">
        <v>912005.4000299999</v>
      </c>
      <c r="BN13">
        <v>940044.09731999994</v>
      </c>
      <c r="BO13">
        <v>965105.67090000003</v>
      </c>
      <c r="BP13">
        <v>983163.9906299999</v>
      </c>
      <c r="BQ13">
        <v>1008134.6898299999</v>
      </c>
      <c r="BR13">
        <v>1026991.12368</v>
      </c>
      <c r="BS13">
        <v>1050085.06938</v>
      </c>
      <c r="BT13">
        <v>1072594.2582</v>
      </c>
      <c r="BU13">
        <v>1102555.1461799999</v>
      </c>
      <c r="BV13">
        <v>1127614.7442300001</v>
      </c>
      <c r="BW13">
        <v>1120398.13314</v>
      </c>
    </row>
    <row r="14" spans="1:75">
      <c r="A14" s="8">
        <v>1974</v>
      </c>
      <c r="B14" s="7">
        <v>1.403024</v>
      </c>
      <c r="C14" s="7">
        <v>2.3201290000000001</v>
      </c>
      <c r="D14" s="7">
        <v>0.14988899999999999</v>
      </c>
      <c r="E14" s="7">
        <v>1.103817</v>
      </c>
      <c r="F14" s="7">
        <v>0.190465</v>
      </c>
      <c r="G14" s="7">
        <v>0.48011500000000001</v>
      </c>
      <c r="H14" s="7">
        <v>0.51588999999999996</v>
      </c>
      <c r="I14" s="7">
        <v>0.610985</v>
      </c>
      <c r="J14" s="7">
        <v>1.2575609999999999</v>
      </c>
      <c r="K14" s="7">
        <v>1.294076</v>
      </c>
      <c r="L14" s="23"/>
      <c r="M14">
        <f t="shared" si="1"/>
        <v>453098.18265600002</v>
      </c>
      <c r="N14">
        <f t="shared" si="2"/>
        <v>21841160.776330002</v>
      </c>
      <c r="O14">
        <f t="shared" si="3"/>
        <v>448896.57053999999</v>
      </c>
      <c r="P14">
        <f t="shared" si="4"/>
        <v>3066580.2367199999</v>
      </c>
      <c r="Q14">
        <f t="shared" si="5"/>
        <v>2969577.9079999998</v>
      </c>
      <c r="R14">
        <f t="shared" si="6"/>
        <v>2359601.9859000002</v>
      </c>
      <c r="S14">
        <f t="shared" si="7"/>
        <v>703410.85609999998</v>
      </c>
      <c r="T14">
        <f t="shared" si="8"/>
        <v>1305638.2859</v>
      </c>
      <c r="U14">
        <f t="shared" si="9"/>
        <v>412889.972886</v>
      </c>
      <c r="V14">
        <f t="shared" si="10"/>
        <v>2556485.9602800002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75">
      <c r="A15" s="8">
        <v>1975</v>
      </c>
      <c r="B15" s="7">
        <v>1.5158799999999999</v>
      </c>
      <c r="C15" s="7">
        <v>2.3538830000000002</v>
      </c>
      <c r="D15" s="7">
        <v>0.164855</v>
      </c>
      <c r="E15" s="7">
        <v>1.0484009999999999</v>
      </c>
      <c r="F15" s="7">
        <v>0.17763999999999999</v>
      </c>
      <c r="G15" s="7">
        <v>0.453102</v>
      </c>
      <c r="H15" s="7">
        <v>0.47576499999999999</v>
      </c>
      <c r="I15" s="7">
        <v>0.38051200000000002</v>
      </c>
      <c r="J15" s="7">
        <v>1.1922630000000001</v>
      </c>
      <c r="K15" s="7">
        <v>1.2551000000000001</v>
      </c>
      <c r="L15" s="23"/>
      <c r="M15">
        <f t="shared" si="1"/>
        <v>489544.35071999999</v>
      </c>
      <c r="N15">
        <f t="shared" si="2"/>
        <v>22158913.16891</v>
      </c>
      <c r="O15">
        <f t="shared" si="3"/>
        <v>493717.64530000003</v>
      </c>
      <c r="P15">
        <f t="shared" si="4"/>
        <v>2912625.7221599999</v>
      </c>
      <c r="Q15">
        <f t="shared" si="5"/>
        <v>2769620.7679999997</v>
      </c>
      <c r="R15">
        <f t="shared" si="6"/>
        <v>2226842.27532</v>
      </c>
      <c r="S15">
        <f t="shared" si="7"/>
        <v>648700.81984999997</v>
      </c>
      <c r="T15">
        <f t="shared" si="8"/>
        <v>813131.31328</v>
      </c>
      <c r="U15">
        <f t="shared" si="9"/>
        <v>391450.94173800002</v>
      </c>
      <c r="V15">
        <f t="shared" si="10"/>
        <v>2479487.7030000002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75">
      <c r="A16" s="8">
        <v>1976</v>
      </c>
      <c r="B16" s="7">
        <v>1.631213</v>
      </c>
      <c r="C16" s="7">
        <v>2.3783759999999998</v>
      </c>
      <c r="D16" s="7">
        <v>0.132854</v>
      </c>
      <c r="E16" s="7">
        <v>0.98521800000000004</v>
      </c>
      <c r="F16" s="7">
        <v>0.164379</v>
      </c>
      <c r="G16" s="7">
        <v>0.41589300000000001</v>
      </c>
      <c r="H16" s="7">
        <v>0.42544999999999999</v>
      </c>
      <c r="I16" s="7">
        <v>0.241897</v>
      </c>
      <c r="J16" s="7">
        <v>1.1299349999999999</v>
      </c>
      <c r="K16" s="7">
        <v>1.20858</v>
      </c>
      <c r="L16" s="23"/>
      <c r="M16">
        <f t="shared" si="1"/>
        <v>526790.45107199997</v>
      </c>
      <c r="N16">
        <f t="shared" si="2"/>
        <v>22389484.637519997</v>
      </c>
      <c r="O16">
        <f t="shared" si="3"/>
        <v>397879.13043999998</v>
      </c>
      <c r="P16">
        <f t="shared" si="4"/>
        <v>2737093.2388800001</v>
      </c>
      <c r="Q16">
        <f t="shared" si="5"/>
        <v>2562865.8648000001</v>
      </c>
      <c r="R16">
        <f t="shared" si="6"/>
        <v>2043972.69138</v>
      </c>
      <c r="S16">
        <f t="shared" si="7"/>
        <v>580096.82050000003</v>
      </c>
      <c r="T16">
        <f t="shared" si="8"/>
        <v>516919.37517999997</v>
      </c>
      <c r="U16">
        <f t="shared" si="9"/>
        <v>370987.03881</v>
      </c>
      <c r="V16">
        <f t="shared" si="10"/>
        <v>2387586.0474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>
      <c r="A17" s="8">
        <v>1977</v>
      </c>
      <c r="B17" s="7">
        <v>1.7471270000000001</v>
      </c>
      <c r="C17" s="7">
        <v>2.2883360000000001</v>
      </c>
      <c r="D17" s="7">
        <v>0.11376699999999999</v>
      </c>
      <c r="E17" s="7">
        <v>0.92227599999999998</v>
      </c>
      <c r="F17" s="7">
        <v>0.151778</v>
      </c>
      <c r="G17" s="7">
        <v>0.395509</v>
      </c>
      <c r="H17" s="7">
        <v>0.37976300000000002</v>
      </c>
      <c r="I17" s="7">
        <v>0.20430999999999999</v>
      </c>
      <c r="J17" s="7">
        <v>1.0703450000000001</v>
      </c>
      <c r="K17" s="7">
        <v>1.1581520000000001</v>
      </c>
      <c r="L17" s="23"/>
      <c r="M17">
        <f t="shared" si="1"/>
        <v>564224.18188799999</v>
      </c>
      <c r="N17">
        <f t="shared" si="2"/>
        <v>21541868.78672</v>
      </c>
      <c r="O17">
        <f t="shared" si="3"/>
        <v>340716.23761999997</v>
      </c>
      <c r="P17">
        <f t="shared" si="4"/>
        <v>2562230.2921600002</v>
      </c>
      <c r="Q17">
        <f t="shared" si="5"/>
        <v>2366401.1535999998</v>
      </c>
      <c r="R17">
        <f t="shared" si="6"/>
        <v>1943792.2619400001</v>
      </c>
      <c r="S17">
        <f t="shared" si="7"/>
        <v>517803.05287000001</v>
      </c>
      <c r="T17">
        <f t="shared" si="8"/>
        <v>436598.21139999997</v>
      </c>
      <c r="U17">
        <f t="shared" si="9"/>
        <v>351422.09247000003</v>
      </c>
      <c r="V17">
        <f t="shared" si="10"/>
        <v>2287964.0205600001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>
      <c r="A18" s="8">
        <v>1978</v>
      </c>
      <c r="B18" s="7">
        <v>1.8695600000000001</v>
      </c>
      <c r="C18" s="7">
        <v>2.2635360000000002</v>
      </c>
      <c r="D18" s="7">
        <v>0.22334499999999999</v>
      </c>
      <c r="E18" s="7">
        <v>0.87212999999999996</v>
      </c>
      <c r="F18" s="7">
        <v>0.140734</v>
      </c>
      <c r="G18" s="7">
        <v>0.36469099999999999</v>
      </c>
      <c r="H18" s="7">
        <v>0.335953</v>
      </c>
      <c r="I18" s="7">
        <v>0.31333499999999997</v>
      </c>
      <c r="J18" s="7">
        <v>1.0175970000000001</v>
      </c>
      <c r="K18" s="7">
        <v>1.1042270000000001</v>
      </c>
      <c r="L18" s="23"/>
      <c r="M18">
        <f t="shared" si="1"/>
        <v>603763.18463999999</v>
      </c>
      <c r="N18">
        <f t="shared" si="2"/>
        <v>21308407.290720001</v>
      </c>
      <c r="O18">
        <f t="shared" si="3"/>
        <v>668887.00669999991</v>
      </c>
      <c r="P18">
        <f t="shared" si="4"/>
        <v>2422916.6807999997</v>
      </c>
      <c r="Q18">
        <f t="shared" si="5"/>
        <v>2194211.9408</v>
      </c>
      <c r="R18">
        <f t="shared" si="6"/>
        <v>1792332.27006</v>
      </c>
      <c r="S18">
        <f t="shared" si="7"/>
        <v>458068.55596999999</v>
      </c>
      <c r="T18">
        <f t="shared" si="8"/>
        <v>669578.09489999991</v>
      </c>
      <c r="U18">
        <f t="shared" si="9"/>
        <v>334103.55262200005</v>
      </c>
      <c r="V18">
        <f t="shared" si="10"/>
        <v>2181433.56531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>
      <c r="A19" s="8">
        <v>1979</v>
      </c>
      <c r="B19" s="7">
        <v>1.9945010000000001</v>
      </c>
      <c r="C19" s="7">
        <v>2.2421139999999999</v>
      </c>
      <c r="D19" s="7">
        <v>0.34849000000000002</v>
      </c>
      <c r="E19" s="7">
        <v>0.80922700000000003</v>
      </c>
      <c r="F19" s="7">
        <v>0.128722</v>
      </c>
      <c r="G19" s="7">
        <v>0.337588</v>
      </c>
      <c r="H19" s="7">
        <v>0.30384800000000001</v>
      </c>
      <c r="I19" s="7">
        <v>0.49434899999999998</v>
      </c>
      <c r="J19" s="7">
        <v>0.96152700000000002</v>
      </c>
      <c r="K19" s="7">
        <v>1.045172</v>
      </c>
      <c r="L19" s="23"/>
      <c r="M19">
        <f t="shared" si="1"/>
        <v>644112.13094399997</v>
      </c>
      <c r="N19">
        <f t="shared" si="2"/>
        <v>21106745.509780001</v>
      </c>
      <c r="O19">
        <f t="shared" si="3"/>
        <v>1043678.7614000001</v>
      </c>
      <c r="P19">
        <f t="shared" si="4"/>
        <v>2248162.08232</v>
      </c>
      <c r="Q19">
        <f t="shared" si="5"/>
        <v>2006930.4464</v>
      </c>
      <c r="R19">
        <f t="shared" si="6"/>
        <v>1659130.2400799999</v>
      </c>
      <c r="S19">
        <f t="shared" si="7"/>
        <v>414293.70952000003</v>
      </c>
      <c r="T19">
        <f t="shared" si="8"/>
        <v>1056394.15206</v>
      </c>
      <c r="U19">
        <f t="shared" si="9"/>
        <v>315694.31380200002</v>
      </c>
      <c r="V19">
        <f t="shared" si="10"/>
        <v>2064768.6411599999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>
      <c r="A20" s="8">
        <v>1980</v>
      </c>
      <c r="B20" s="7">
        <v>2.1223649999999998</v>
      </c>
      <c r="C20" s="7">
        <v>2.0983529999999999</v>
      </c>
      <c r="D20" s="7">
        <v>0.45180999999999999</v>
      </c>
      <c r="E20" s="7">
        <v>0.74740899999999999</v>
      </c>
      <c r="F20" s="7">
        <v>0.118132</v>
      </c>
      <c r="G20" s="7">
        <v>0.305176</v>
      </c>
      <c r="H20" s="7">
        <v>0.27697899999999998</v>
      </c>
      <c r="I20" s="7">
        <v>0.46898400000000001</v>
      </c>
      <c r="J20" s="7">
        <v>0.90651599999999999</v>
      </c>
      <c r="K20" s="7">
        <v>0.97571799999999997</v>
      </c>
      <c r="L20" s="23"/>
      <c r="M20">
        <f t="shared" si="1"/>
        <v>685405.04255999997</v>
      </c>
      <c r="N20">
        <f t="shared" si="2"/>
        <v>19753412.520810001</v>
      </c>
      <c r="O20">
        <f t="shared" si="3"/>
        <v>1353107.6965999999</v>
      </c>
      <c r="P20">
        <f t="shared" si="4"/>
        <v>2076421.7874399999</v>
      </c>
      <c r="Q20">
        <f t="shared" si="5"/>
        <v>1841819.6384000001</v>
      </c>
      <c r="R20">
        <f t="shared" si="6"/>
        <v>1499836.2801600001</v>
      </c>
      <c r="S20">
        <f t="shared" si="7"/>
        <v>377658.09670999995</v>
      </c>
      <c r="T20">
        <f t="shared" si="8"/>
        <v>1002190.66896</v>
      </c>
      <c r="U20">
        <f t="shared" si="9"/>
        <v>297632.77221600001</v>
      </c>
      <c r="V20">
        <f t="shared" si="10"/>
        <v>1927560.1805399999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>
      <c r="A21" s="8">
        <v>1981</v>
      </c>
      <c r="B21" s="7">
        <v>2.2210179999999999</v>
      </c>
      <c r="C21" s="7">
        <v>2.0255939999999999</v>
      </c>
      <c r="D21" s="7">
        <v>0.51051599999999997</v>
      </c>
      <c r="E21" s="7">
        <v>0.69630800000000004</v>
      </c>
      <c r="F21" s="7">
        <v>0.108128</v>
      </c>
      <c r="G21" s="7">
        <v>0.27195999999999998</v>
      </c>
      <c r="H21" s="7">
        <v>0.23619599999999999</v>
      </c>
      <c r="I21" s="7">
        <v>0.42369299999999999</v>
      </c>
      <c r="J21" s="7">
        <v>0.85480100000000003</v>
      </c>
      <c r="K21" s="7">
        <v>0.90326899999999999</v>
      </c>
      <c r="L21" s="23"/>
      <c r="M21">
        <f t="shared" si="1"/>
        <v>717264.43699199997</v>
      </c>
      <c r="N21">
        <f t="shared" si="2"/>
        <v>19068476.029379997</v>
      </c>
      <c r="O21">
        <f t="shared" si="3"/>
        <v>1528923.9477599999</v>
      </c>
      <c r="P21">
        <f t="shared" si="4"/>
        <v>1934455.0332800001</v>
      </c>
      <c r="Q21">
        <f t="shared" si="5"/>
        <v>1685845.2736</v>
      </c>
      <c r="R21">
        <f t="shared" si="6"/>
        <v>1336590.9335999999</v>
      </c>
      <c r="S21">
        <f t="shared" si="7"/>
        <v>322050.88403999998</v>
      </c>
      <c r="T21">
        <f t="shared" si="8"/>
        <v>905406.51942000003</v>
      </c>
      <c r="U21">
        <f t="shared" si="9"/>
        <v>280653.39312600001</v>
      </c>
      <c r="V21">
        <f t="shared" si="10"/>
        <v>1784435.0075699999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>
      <c r="A22" s="8">
        <v>1982</v>
      </c>
      <c r="B22" s="7">
        <v>2.306314</v>
      </c>
      <c r="C22" s="7">
        <v>1.9478329999999999</v>
      </c>
      <c r="D22" s="7">
        <v>0.55523100000000003</v>
      </c>
      <c r="E22" s="7">
        <v>0.65138099999999999</v>
      </c>
      <c r="F22" s="7">
        <v>9.7447000000000006E-2</v>
      </c>
      <c r="G22" s="7">
        <v>0.24827299999999999</v>
      </c>
      <c r="H22" s="7">
        <v>0.22253800000000001</v>
      </c>
      <c r="I22" s="7">
        <v>0.514513</v>
      </c>
      <c r="J22" s="7">
        <v>0.80515599999999998</v>
      </c>
      <c r="K22" s="7">
        <v>0.82877000000000001</v>
      </c>
      <c r="L22" s="23"/>
      <c r="M22">
        <f t="shared" si="1"/>
        <v>744810.26841599995</v>
      </c>
      <c r="N22">
        <f t="shared" si="2"/>
        <v>18336451.860410001</v>
      </c>
      <c r="O22">
        <f t="shared" si="3"/>
        <v>1662839.1126600001</v>
      </c>
      <c r="P22">
        <f t="shared" si="4"/>
        <v>1809640.6389599999</v>
      </c>
      <c r="Q22">
        <f t="shared" si="5"/>
        <v>1519315.6664</v>
      </c>
      <c r="R22">
        <f t="shared" si="6"/>
        <v>1220177.38218</v>
      </c>
      <c r="S22">
        <f t="shared" si="7"/>
        <v>303428.33762000001</v>
      </c>
      <c r="T22">
        <f t="shared" si="8"/>
        <v>1099483.41022</v>
      </c>
      <c r="U22">
        <f t="shared" si="9"/>
        <v>264353.64885599999</v>
      </c>
      <c r="V22">
        <f t="shared" si="10"/>
        <v>1637259.9981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>
      <c r="A23" s="8">
        <v>1983</v>
      </c>
      <c r="B23" s="7">
        <v>2.3758599999999999</v>
      </c>
      <c r="C23" s="7">
        <v>1.8001560000000001</v>
      </c>
      <c r="D23" s="7">
        <v>0.72420799999999996</v>
      </c>
      <c r="E23" s="7">
        <v>0.60558900000000004</v>
      </c>
      <c r="F23" s="7">
        <v>8.6334999999999995E-2</v>
      </c>
      <c r="G23" s="7">
        <v>0.22367300000000001</v>
      </c>
      <c r="H23" s="7">
        <v>0.21701500000000001</v>
      </c>
      <c r="I23" s="7">
        <v>0.92213100000000003</v>
      </c>
      <c r="J23" s="7">
        <v>0.76073000000000002</v>
      </c>
      <c r="K23" s="7">
        <v>0.76147799999999999</v>
      </c>
      <c r="L23" s="23"/>
      <c r="M23">
        <f t="shared" si="1"/>
        <v>767269.73183999991</v>
      </c>
      <c r="N23">
        <f t="shared" si="2"/>
        <v>16946254.548119999</v>
      </c>
      <c r="O23">
        <f t="shared" si="3"/>
        <v>2168901.57088</v>
      </c>
      <c r="P23">
        <f t="shared" si="4"/>
        <v>1682423.1362400001</v>
      </c>
      <c r="Q23">
        <f t="shared" si="5"/>
        <v>1346066.2519999999</v>
      </c>
      <c r="R23">
        <f t="shared" si="6"/>
        <v>1099276.74618</v>
      </c>
      <c r="S23">
        <f t="shared" si="7"/>
        <v>295897.78234999999</v>
      </c>
      <c r="T23">
        <f t="shared" si="8"/>
        <v>1970538.6191400001</v>
      </c>
      <c r="U23">
        <f t="shared" si="9"/>
        <v>249767.43798000002</v>
      </c>
      <c r="V23">
        <f t="shared" si="10"/>
        <v>1504322.6333399999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>
      <c r="A24" s="8">
        <v>1984</v>
      </c>
      <c r="B24" s="7">
        <v>2.4454120000000001</v>
      </c>
      <c r="C24" s="7">
        <v>1.708712</v>
      </c>
      <c r="D24" s="7">
        <v>0.71681399999999995</v>
      </c>
      <c r="E24" s="7">
        <v>0.56354099999999996</v>
      </c>
      <c r="F24" s="7">
        <v>7.4828000000000006E-2</v>
      </c>
      <c r="G24" s="7">
        <v>0.19822500000000001</v>
      </c>
      <c r="H24" s="7">
        <v>0.203316</v>
      </c>
      <c r="I24" s="7">
        <v>1.335245</v>
      </c>
      <c r="J24" s="7">
        <v>0.713897</v>
      </c>
      <c r="K24" s="7">
        <v>0.701071</v>
      </c>
      <c r="L24" s="23"/>
      <c r="M24">
        <f t="shared" si="1"/>
        <v>789731.13292800006</v>
      </c>
      <c r="N24">
        <f t="shared" si="2"/>
        <v>16085421.76424</v>
      </c>
      <c r="O24">
        <f t="shared" si="3"/>
        <v>2146757.5760399997</v>
      </c>
      <c r="P24">
        <f t="shared" si="4"/>
        <v>1565607.0645599999</v>
      </c>
      <c r="Q24">
        <f t="shared" si="5"/>
        <v>1166658.3136</v>
      </c>
      <c r="R24">
        <f t="shared" si="6"/>
        <v>974208.47850000008</v>
      </c>
      <c r="S24">
        <f t="shared" si="7"/>
        <v>277219.33283999999</v>
      </c>
      <c r="T24">
        <f t="shared" si="8"/>
        <v>2853338.4503000001</v>
      </c>
      <c r="U24">
        <f t="shared" si="9"/>
        <v>234390.94642200001</v>
      </c>
      <c r="V24">
        <f t="shared" si="10"/>
        <v>1384986.79263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>
      <c r="A25" s="8">
        <v>1985</v>
      </c>
      <c r="B25" s="7">
        <v>3.0344419999999999</v>
      </c>
      <c r="C25" s="7">
        <v>1.650682</v>
      </c>
      <c r="D25" s="7">
        <v>0.704627</v>
      </c>
      <c r="E25" s="7">
        <v>0.53010500000000005</v>
      </c>
      <c r="F25" s="7">
        <v>6.5435999999999994E-2</v>
      </c>
      <c r="G25" s="7">
        <v>0.175895</v>
      </c>
      <c r="H25" s="7">
        <v>0.178453</v>
      </c>
      <c r="I25" s="7">
        <v>1.143443</v>
      </c>
      <c r="J25" s="7">
        <v>0.67215999999999998</v>
      </c>
      <c r="K25" s="7">
        <v>0.64361500000000005</v>
      </c>
      <c r="L25" s="23"/>
      <c r="M25">
        <f t="shared" si="1"/>
        <v>979954.83724799997</v>
      </c>
      <c r="N25">
        <f t="shared" si="2"/>
        <v>15539140.69114</v>
      </c>
      <c r="O25">
        <f t="shared" si="3"/>
        <v>2110259.21722</v>
      </c>
      <c r="P25">
        <f t="shared" si="4"/>
        <v>1472716.5068000001</v>
      </c>
      <c r="Q25">
        <f t="shared" si="5"/>
        <v>1020225.7631999999</v>
      </c>
      <c r="R25">
        <f t="shared" si="6"/>
        <v>864464.12069999997</v>
      </c>
      <c r="S25">
        <f t="shared" si="7"/>
        <v>243318.88097</v>
      </c>
      <c r="T25">
        <f t="shared" si="8"/>
        <v>2443469.0844200002</v>
      </c>
      <c r="U25">
        <f t="shared" si="9"/>
        <v>220687.60415999999</v>
      </c>
      <c r="V25">
        <f t="shared" si="10"/>
        <v>1271480.74095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>
      <c r="A26" s="8">
        <v>1986</v>
      </c>
      <c r="B26" s="7">
        <v>3.0515500000000002</v>
      </c>
      <c r="C26" s="7">
        <v>1.526864</v>
      </c>
      <c r="D26" s="7">
        <v>0.69015099999999996</v>
      </c>
      <c r="E26" s="7">
        <v>0.49829200000000001</v>
      </c>
      <c r="F26" s="7">
        <v>5.4852999999999999E-2</v>
      </c>
      <c r="G26" s="7">
        <v>0.15292700000000001</v>
      </c>
      <c r="H26" s="7">
        <v>0.16952400000000001</v>
      </c>
      <c r="I26" s="7">
        <v>1.614617</v>
      </c>
      <c r="J26" s="7">
        <v>0.63084300000000004</v>
      </c>
      <c r="K26" s="7">
        <v>0.58737300000000003</v>
      </c>
      <c r="L26" s="23"/>
      <c r="M26">
        <f t="shared" si="1"/>
        <v>985479.76320000004</v>
      </c>
      <c r="N26">
        <f t="shared" si="2"/>
        <v>14373546.517279999</v>
      </c>
      <c r="O26">
        <f t="shared" si="3"/>
        <v>2066905.6238599999</v>
      </c>
      <c r="P26">
        <f t="shared" si="4"/>
        <v>1384334.9027200001</v>
      </c>
      <c r="Q26">
        <f t="shared" si="5"/>
        <v>855224.09360000002</v>
      </c>
      <c r="R26">
        <f t="shared" si="6"/>
        <v>751584.20981999999</v>
      </c>
      <c r="S26">
        <f t="shared" si="7"/>
        <v>231144.27876000002</v>
      </c>
      <c r="T26">
        <f t="shared" si="8"/>
        <v>3450339.6519800001</v>
      </c>
      <c r="U26">
        <f t="shared" si="9"/>
        <v>207122.15881800003</v>
      </c>
      <c r="V26">
        <f t="shared" si="10"/>
        <v>1160372.98269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>
      <c r="A27" s="8">
        <v>1987</v>
      </c>
      <c r="B27" s="7">
        <v>3.0981079999999999</v>
      </c>
      <c r="C27" s="7">
        <v>1.44356</v>
      </c>
      <c r="D27" s="7">
        <v>0.66685000000000005</v>
      </c>
      <c r="E27" s="7">
        <v>0.469472</v>
      </c>
      <c r="F27" s="7">
        <v>4.6191000000000003E-2</v>
      </c>
      <c r="G27" s="7">
        <v>0.13516800000000001</v>
      </c>
      <c r="H27" s="7">
        <v>0.166209</v>
      </c>
      <c r="I27" s="7">
        <v>1.299731</v>
      </c>
      <c r="J27" s="7">
        <v>0.59250100000000006</v>
      </c>
      <c r="K27" s="7">
        <v>0.53668300000000002</v>
      </c>
      <c r="L27" s="23"/>
      <c r="M27">
        <f t="shared" si="1"/>
        <v>1000515.389952</v>
      </c>
      <c r="N27">
        <f t="shared" si="2"/>
        <v>13589341.8212</v>
      </c>
      <c r="O27">
        <f t="shared" si="3"/>
        <v>1997122.3910000001</v>
      </c>
      <c r="P27">
        <f t="shared" si="4"/>
        <v>1304268.33152</v>
      </c>
      <c r="Q27">
        <f t="shared" si="5"/>
        <v>720173.11920000007</v>
      </c>
      <c r="R27">
        <f t="shared" si="6"/>
        <v>664304.76288000005</v>
      </c>
      <c r="S27">
        <f t="shared" si="7"/>
        <v>226624.30940999999</v>
      </c>
      <c r="T27">
        <f t="shared" si="8"/>
        <v>2777447.1631399998</v>
      </c>
      <c r="U27">
        <f t="shared" si="9"/>
        <v>194533.48332600002</v>
      </c>
      <c r="V27">
        <f t="shared" si="10"/>
        <v>1060233.36699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>
      <c r="A28" s="8">
        <v>1988</v>
      </c>
      <c r="B28" s="7">
        <v>3.1702729999999999</v>
      </c>
      <c r="C28" s="7">
        <v>1.3669979999999999</v>
      </c>
      <c r="D28" s="7">
        <v>0.64073999999999998</v>
      </c>
      <c r="E28" s="7">
        <v>0.43482999999999999</v>
      </c>
      <c r="F28" s="7">
        <v>3.7359000000000003E-2</v>
      </c>
      <c r="G28" s="7">
        <v>0.1172</v>
      </c>
      <c r="H28" s="7">
        <v>0.154192</v>
      </c>
      <c r="I28" s="7">
        <v>1.123221</v>
      </c>
      <c r="J28" s="7">
        <v>0.55447400000000002</v>
      </c>
      <c r="K28" s="7">
        <v>0.48760300000000001</v>
      </c>
      <c r="L28" s="23"/>
      <c r="M28">
        <f t="shared" si="1"/>
        <v>1023820.643712</v>
      </c>
      <c r="N28">
        <f t="shared" si="2"/>
        <v>12868604.762459999</v>
      </c>
      <c r="O28">
        <f t="shared" si="3"/>
        <v>1918926.5963999999</v>
      </c>
      <c r="P28">
        <f t="shared" si="4"/>
        <v>1208027.3128</v>
      </c>
      <c r="Q28">
        <f t="shared" si="5"/>
        <v>582471.64080000005</v>
      </c>
      <c r="R28">
        <f t="shared" si="6"/>
        <v>575998.152</v>
      </c>
      <c r="S28">
        <f t="shared" si="7"/>
        <v>210239.25008</v>
      </c>
      <c r="T28">
        <f t="shared" si="8"/>
        <v>2400255.88374</v>
      </c>
      <c r="U28">
        <f t="shared" si="9"/>
        <v>182048.23052400001</v>
      </c>
      <c r="V28">
        <f t="shared" si="10"/>
        <v>963274.35459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>
      <c r="A29" s="8">
        <v>1989</v>
      </c>
      <c r="B29" s="7">
        <v>3.2510819999999998</v>
      </c>
      <c r="C29" s="7">
        <v>1.2965180000000001</v>
      </c>
      <c r="D29" s="7">
        <v>0.61596200000000001</v>
      </c>
      <c r="E29" s="7">
        <v>0.40244799999999997</v>
      </c>
      <c r="F29" s="7">
        <v>3.0293E-2</v>
      </c>
      <c r="G29" s="7">
        <v>0.105242</v>
      </c>
      <c r="H29" s="7">
        <v>0.14352100000000001</v>
      </c>
      <c r="I29" s="7">
        <v>0.96975199999999995</v>
      </c>
      <c r="J29" s="7">
        <v>0.52395599999999998</v>
      </c>
      <c r="K29" s="7">
        <v>0.450353</v>
      </c>
      <c r="L29" s="23"/>
      <c r="M29">
        <f t="shared" si="1"/>
        <v>1049917.4254079999</v>
      </c>
      <c r="N29">
        <f t="shared" si="2"/>
        <v>12205122.25286</v>
      </c>
      <c r="O29">
        <f t="shared" si="3"/>
        <v>1844719.95532</v>
      </c>
      <c r="P29">
        <f t="shared" si="4"/>
        <v>1118064.9356799999</v>
      </c>
      <c r="Q29">
        <f t="shared" si="5"/>
        <v>472304.22159999999</v>
      </c>
      <c r="R29">
        <f t="shared" si="6"/>
        <v>517228.64772000001</v>
      </c>
      <c r="S29">
        <f t="shared" si="7"/>
        <v>195689.44829</v>
      </c>
      <c r="T29">
        <f t="shared" si="8"/>
        <v>2072301.8388799999</v>
      </c>
      <c r="U29">
        <f t="shared" si="9"/>
        <v>172028.377656</v>
      </c>
      <c r="V29">
        <f t="shared" si="10"/>
        <v>889685.86208999995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>
      <c r="A30" s="8">
        <v>1990</v>
      </c>
      <c r="B30" s="7">
        <v>3.3401749999999999</v>
      </c>
      <c r="C30" s="7">
        <v>1.2312749999999999</v>
      </c>
      <c r="D30" s="7">
        <v>0.59243999999999997</v>
      </c>
      <c r="E30" s="7">
        <v>0.37787500000000002</v>
      </c>
      <c r="F30" s="7">
        <v>2.7588000000000001E-2</v>
      </c>
      <c r="G30" s="7">
        <v>0.106059</v>
      </c>
      <c r="H30" s="7">
        <v>0.1593</v>
      </c>
      <c r="I30" s="7">
        <v>1.3036479999999999</v>
      </c>
      <c r="J30" s="7">
        <v>0.51239199999999996</v>
      </c>
      <c r="K30" s="7">
        <v>0.43387700000000001</v>
      </c>
      <c r="L30" s="23"/>
      <c r="M30">
        <f t="shared" si="1"/>
        <v>1078689.4752</v>
      </c>
      <c r="N30">
        <f t="shared" si="2"/>
        <v>11590939.656749999</v>
      </c>
      <c r="O30">
        <f t="shared" si="3"/>
        <v>1774274.8583999998</v>
      </c>
      <c r="P30">
        <f t="shared" si="4"/>
        <v>1049797.21</v>
      </c>
      <c r="Q30">
        <f t="shared" si="5"/>
        <v>430130.02559999999</v>
      </c>
      <c r="R30">
        <f t="shared" si="6"/>
        <v>521243.92494</v>
      </c>
      <c r="S30">
        <f t="shared" si="7"/>
        <v>217203.95699999999</v>
      </c>
      <c r="T30">
        <f t="shared" si="8"/>
        <v>2785817.55712</v>
      </c>
      <c r="U30">
        <f t="shared" si="9"/>
        <v>168231.615792</v>
      </c>
      <c r="V30">
        <f t="shared" si="10"/>
        <v>857137.02980999998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>
      <c r="A31" s="8">
        <v>1991</v>
      </c>
      <c r="B31" s="7">
        <v>3.7925550000000001</v>
      </c>
      <c r="C31" s="7">
        <v>1.1786700000000001</v>
      </c>
      <c r="D31" s="7">
        <v>0.61924000000000001</v>
      </c>
      <c r="E31" s="7">
        <v>0.36782599999999999</v>
      </c>
      <c r="F31" s="7">
        <v>2.6370999999999999E-2</v>
      </c>
      <c r="G31" s="7">
        <v>0.11003300000000001</v>
      </c>
      <c r="H31" s="7">
        <v>0.16606499999999999</v>
      </c>
      <c r="I31" s="7">
        <v>1.1437470000000001</v>
      </c>
      <c r="J31" s="7">
        <v>0.50846599999999997</v>
      </c>
      <c r="K31" s="7">
        <v>0.42527999999999999</v>
      </c>
      <c r="L31" s="23"/>
      <c r="M31">
        <f t="shared" si="1"/>
        <v>1224782.8819200001</v>
      </c>
      <c r="N31">
        <f t="shared" si="2"/>
        <v>11095728.2859</v>
      </c>
      <c r="O31">
        <f t="shared" si="3"/>
        <v>1854537.1063999999</v>
      </c>
      <c r="P31">
        <f t="shared" si="4"/>
        <v>1021879.4801599999</v>
      </c>
      <c r="Q31">
        <f t="shared" si="5"/>
        <v>411155.53519999998</v>
      </c>
      <c r="R31">
        <f t="shared" si="6"/>
        <v>540774.78378000006</v>
      </c>
      <c r="S31">
        <f t="shared" si="7"/>
        <v>226427.96685</v>
      </c>
      <c r="T31">
        <f t="shared" si="8"/>
        <v>2444118.7141800001</v>
      </c>
      <c r="U31">
        <f t="shared" si="9"/>
        <v>166942.60791599998</v>
      </c>
      <c r="V31">
        <f t="shared" si="10"/>
        <v>840153.39839999995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>
      <c r="A32" s="8">
        <v>1992</v>
      </c>
      <c r="B32" s="7">
        <v>3.7205560000000002</v>
      </c>
      <c r="C32" s="7">
        <v>1.131373</v>
      </c>
      <c r="D32" s="7">
        <v>0.59119900000000003</v>
      </c>
      <c r="E32" s="7">
        <v>0.35857800000000001</v>
      </c>
      <c r="F32" s="7">
        <v>2.4971E-2</v>
      </c>
      <c r="G32" s="7">
        <v>0.107832</v>
      </c>
      <c r="H32" s="7">
        <v>0.14364499999999999</v>
      </c>
      <c r="I32" s="7">
        <v>0.94328100000000004</v>
      </c>
      <c r="J32" s="7">
        <v>0.50556100000000004</v>
      </c>
      <c r="K32" s="7">
        <v>0.41726200000000002</v>
      </c>
      <c r="L32" s="23"/>
      <c r="M32">
        <f t="shared" si="1"/>
        <v>1201531.2368640001</v>
      </c>
      <c r="N32">
        <f t="shared" si="2"/>
        <v>10650485.20621</v>
      </c>
      <c r="O32">
        <f t="shared" si="3"/>
        <v>1770558.2371400001</v>
      </c>
      <c r="P32">
        <f t="shared" si="4"/>
        <v>996187.05648000003</v>
      </c>
      <c r="Q32">
        <f t="shared" si="5"/>
        <v>389327.85519999999</v>
      </c>
      <c r="R32">
        <f t="shared" si="6"/>
        <v>529957.61711999995</v>
      </c>
      <c r="S32">
        <f t="shared" si="7"/>
        <v>195858.52104999998</v>
      </c>
      <c r="T32">
        <f t="shared" si="8"/>
        <v>2015734.90014</v>
      </c>
      <c r="U32">
        <f t="shared" si="9"/>
        <v>165988.820886</v>
      </c>
      <c r="V32">
        <f t="shared" si="10"/>
        <v>824313.59886000003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>
      <c r="A33" s="8">
        <v>1993</v>
      </c>
      <c r="B33" s="7">
        <v>3.6777929999999999</v>
      </c>
      <c r="C33" s="7">
        <v>1.0865009999999999</v>
      </c>
      <c r="D33" s="7">
        <v>0.56912200000000002</v>
      </c>
      <c r="E33" s="7">
        <v>0.34883199999999998</v>
      </c>
      <c r="F33" s="7">
        <v>2.3734000000000002E-2</v>
      </c>
      <c r="G33" s="7">
        <v>0.10320799999999999</v>
      </c>
      <c r="H33" s="7">
        <v>0.149176</v>
      </c>
      <c r="I33" s="7">
        <v>1.3046169999999999</v>
      </c>
      <c r="J33" s="7">
        <v>0.49716199999999999</v>
      </c>
      <c r="K33" s="7">
        <v>0.41048400000000002</v>
      </c>
      <c r="L33" s="23"/>
      <c r="M33">
        <f t="shared" si="1"/>
        <v>1187721.1825919999</v>
      </c>
      <c r="N33">
        <f t="shared" si="2"/>
        <v>10228070.51877</v>
      </c>
      <c r="O33">
        <f t="shared" si="3"/>
        <v>1704440.7129200001</v>
      </c>
      <c r="P33">
        <f t="shared" si="4"/>
        <v>969111.10911999992</v>
      </c>
      <c r="Q33">
        <f t="shared" si="5"/>
        <v>370041.54080000002</v>
      </c>
      <c r="R33">
        <f t="shared" si="6"/>
        <v>507232.22927999997</v>
      </c>
      <c r="S33">
        <f t="shared" si="7"/>
        <v>203399.98423999999</v>
      </c>
      <c r="T33">
        <f t="shared" si="8"/>
        <v>2787888.2519799997</v>
      </c>
      <c r="U33">
        <f t="shared" si="9"/>
        <v>163231.210812</v>
      </c>
      <c r="V33">
        <f t="shared" si="10"/>
        <v>810923.45652000001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>
      <c r="A34" s="8">
        <v>1994</v>
      </c>
      <c r="B34" s="7">
        <v>3.6332490000000002</v>
      </c>
      <c r="C34" s="7">
        <v>1.053186</v>
      </c>
      <c r="D34" s="7">
        <v>0.735317</v>
      </c>
      <c r="E34" s="7">
        <v>0.34706300000000001</v>
      </c>
      <c r="F34" s="7">
        <v>2.1981000000000001E-2</v>
      </c>
      <c r="G34" s="7">
        <v>0.103023</v>
      </c>
      <c r="H34" s="7">
        <v>0.14607300000000001</v>
      </c>
      <c r="I34" s="7">
        <v>0.98315200000000003</v>
      </c>
      <c r="J34" s="7">
        <v>0.48869600000000002</v>
      </c>
      <c r="K34" s="7">
        <v>0.40412199999999998</v>
      </c>
      <c r="L34" s="23"/>
      <c r="M34">
        <f t="shared" si="1"/>
        <v>1173335.965056</v>
      </c>
      <c r="N34">
        <f t="shared" si="2"/>
        <v>9914450.7712200005</v>
      </c>
      <c r="O34">
        <f t="shared" si="3"/>
        <v>2202171.4706199998</v>
      </c>
      <c r="P34">
        <f t="shared" si="4"/>
        <v>964196.54408000002</v>
      </c>
      <c r="Q34">
        <f t="shared" si="5"/>
        <v>342710.16720000003</v>
      </c>
      <c r="R34">
        <f t="shared" si="6"/>
        <v>506323.01718000002</v>
      </c>
      <c r="S34">
        <f t="shared" si="7"/>
        <v>199169.07477000001</v>
      </c>
      <c r="T34">
        <f t="shared" si="8"/>
        <v>2100936.83488</v>
      </c>
      <c r="U34">
        <f t="shared" si="9"/>
        <v>160451.602896</v>
      </c>
      <c r="V34">
        <f t="shared" si="10"/>
        <v>798355.13465999998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>
      <c r="A35" s="8">
        <v>1995</v>
      </c>
      <c r="B35" s="7">
        <v>3.6052409999999999</v>
      </c>
      <c r="C35" s="7">
        <v>1.019115</v>
      </c>
      <c r="D35" s="7">
        <v>0.80808899999999995</v>
      </c>
      <c r="E35" s="7">
        <v>0.34254099999999998</v>
      </c>
      <c r="F35" s="7">
        <v>2.0760000000000001E-2</v>
      </c>
      <c r="G35" s="7">
        <v>0.10408000000000001</v>
      </c>
      <c r="H35" s="7">
        <v>0.148031</v>
      </c>
      <c r="I35" s="7">
        <v>0.85628000000000004</v>
      </c>
      <c r="J35" s="7">
        <v>0.48571900000000001</v>
      </c>
      <c r="K35" s="7">
        <v>0.398839</v>
      </c>
      <c r="L35" s="23"/>
      <c r="M35">
        <f t="shared" si="1"/>
        <v>1164290.9495039999</v>
      </c>
      <c r="N35">
        <f t="shared" si="2"/>
        <v>9593714.2135499995</v>
      </c>
      <c r="O35">
        <f t="shared" si="3"/>
        <v>2420113.4225399997</v>
      </c>
      <c r="P35">
        <f t="shared" si="4"/>
        <v>951633.70455999998</v>
      </c>
      <c r="Q35">
        <f t="shared" si="5"/>
        <v>323673.31200000003</v>
      </c>
      <c r="R35">
        <f t="shared" si="6"/>
        <v>511517.81280000001</v>
      </c>
      <c r="S35">
        <f t="shared" si="7"/>
        <v>201838.78818999999</v>
      </c>
      <c r="T35">
        <f t="shared" si="8"/>
        <v>1829818.9832000001</v>
      </c>
      <c r="U35">
        <f t="shared" si="9"/>
        <v>159474.17639400001</v>
      </c>
      <c r="V35">
        <f t="shared" si="10"/>
        <v>787918.40966999996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>
      <c r="A36" s="8">
        <v>1996</v>
      </c>
      <c r="B36" s="7">
        <v>3.5808800000000001</v>
      </c>
      <c r="C36" s="7">
        <v>0.98013499999999998</v>
      </c>
      <c r="D36" s="7">
        <v>0.73198600000000003</v>
      </c>
      <c r="E36" s="7">
        <v>0.33585999999999999</v>
      </c>
      <c r="F36" s="7">
        <v>1.9309E-2</v>
      </c>
      <c r="G36" s="7">
        <v>9.9171999999999996E-2</v>
      </c>
      <c r="H36" s="7">
        <v>0.14385400000000001</v>
      </c>
      <c r="I36" s="7">
        <v>1.1864939999999999</v>
      </c>
      <c r="J36" s="7">
        <v>0.48725000000000002</v>
      </c>
      <c r="K36" s="7">
        <v>0.394119</v>
      </c>
      <c r="L36" s="23"/>
      <c r="M36">
        <f t="shared" si="1"/>
        <v>1156423.7107200001</v>
      </c>
      <c r="N36">
        <f t="shared" si="2"/>
        <v>9226765.4589499999</v>
      </c>
      <c r="O36">
        <f t="shared" si="3"/>
        <v>2192195.5919599999</v>
      </c>
      <c r="P36">
        <f t="shared" si="4"/>
        <v>933072.81759999995</v>
      </c>
      <c r="Q36">
        <f t="shared" si="5"/>
        <v>301050.48080000002</v>
      </c>
      <c r="R36">
        <f t="shared" si="6"/>
        <v>487396.66151999997</v>
      </c>
      <c r="S36">
        <f t="shared" si="7"/>
        <v>196143.49046</v>
      </c>
      <c r="T36">
        <f t="shared" si="8"/>
        <v>2535466.4883599998</v>
      </c>
      <c r="U36">
        <f t="shared" si="9"/>
        <v>159976.84350000002</v>
      </c>
      <c r="V36">
        <f t="shared" si="10"/>
        <v>778593.90807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>
      <c r="A37" s="8">
        <v>1997</v>
      </c>
      <c r="B37" s="7">
        <v>3.7269359999999998</v>
      </c>
      <c r="C37" s="7">
        <v>0.95537300000000003</v>
      </c>
      <c r="D37" s="7">
        <v>0.924257</v>
      </c>
      <c r="E37" s="7">
        <v>0.33231899999999998</v>
      </c>
      <c r="F37" s="7">
        <v>1.8461000000000002E-2</v>
      </c>
      <c r="G37" s="7">
        <v>9.5379000000000005E-2</v>
      </c>
      <c r="H37" s="7">
        <v>0.16092100000000001</v>
      </c>
      <c r="I37" s="7">
        <v>1.464782</v>
      </c>
      <c r="J37" s="7">
        <v>0.48771399999999998</v>
      </c>
      <c r="K37" s="7">
        <v>0.391737</v>
      </c>
      <c r="L37" s="23"/>
      <c r="M37">
        <f t="shared" si="1"/>
        <v>1203591.619584</v>
      </c>
      <c r="N37">
        <f t="shared" si="2"/>
        <v>8993661.6862100009</v>
      </c>
      <c r="O37">
        <f t="shared" si="3"/>
        <v>2768020.3190199998</v>
      </c>
      <c r="P37">
        <f t="shared" si="4"/>
        <v>923235.35303999996</v>
      </c>
      <c r="Q37">
        <f t="shared" si="5"/>
        <v>287829.14320000005</v>
      </c>
      <c r="R37">
        <f t="shared" si="6"/>
        <v>468755.35614000005</v>
      </c>
      <c r="S37">
        <f t="shared" si="7"/>
        <v>219414.17429000002</v>
      </c>
      <c r="T37">
        <f t="shared" si="8"/>
        <v>3130151.2470800001</v>
      </c>
      <c r="U37">
        <f t="shared" si="9"/>
        <v>160129.18676399998</v>
      </c>
      <c r="V37">
        <f t="shared" si="10"/>
        <v>773888.19561000005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>
      <c r="A38" s="8">
        <v>1998</v>
      </c>
      <c r="B38" s="7">
        <v>3.6784690000000002</v>
      </c>
      <c r="C38" s="7">
        <v>0.92374999999999996</v>
      </c>
      <c r="D38" s="7">
        <v>0.81187399999999998</v>
      </c>
      <c r="E38" s="7">
        <v>0.32502999999999999</v>
      </c>
      <c r="F38" s="7">
        <v>1.7132999999999999E-2</v>
      </c>
      <c r="G38" s="7">
        <v>9.5600000000000004E-2</v>
      </c>
      <c r="H38" s="7">
        <v>0.14469199999999999</v>
      </c>
      <c r="I38" s="7">
        <v>1.189848</v>
      </c>
      <c r="J38" s="7">
        <v>0.48563000000000001</v>
      </c>
      <c r="K38" s="7">
        <v>0.38926100000000002</v>
      </c>
      <c r="L38" s="23"/>
      <c r="M38">
        <f t="shared" si="1"/>
        <v>1187939.4927360001</v>
      </c>
      <c r="N38">
        <f t="shared" si="2"/>
        <v>8695970.0374999996</v>
      </c>
      <c r="O38">
        <f t="shared" si="3"/>
        <v>2431448.9676399999</v>
      </c>
      <c r="P38">
        <f t="shared" si="4"/>
        <v>902985.34479999996</v>
      </c>
      <c r="Q38">
        <f t="shared" si="5"/>
        <v>267124.02960000001</v>
      </c>
      <c r="R38">
        <f t="shared" si="6"/>
        <v>469841.49600000004</v>
      </c>
      <c r="S38">
        <f t="shared" si="7"/>
        <v>197286.09507999997</v>
      </c>
      <c r="T38">
        <f t="shared" si="8"/>
        <v>2542633.7851200001</v>
      </c>
      <c r="U38">
        <f t="shared" si="9"/>
        <v>159444.95538</v>
      </c>
      <c r="V38">
        <f t="shared" si="10"/>
        <v>768996.78333000001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>
      <c r="A39" s="8">
        <v>1999</v>
      </c>
      <c r="B39" s="7">
        <v>3.63815</v>
      </c>
      <c r="C39" s="7">
        <v>0.89968599999999999</v>
      </c>
      <c r="D39" s="7">
        <v>0.73754200000000003</v>
      </c>
      <c r="E39" s="7">
        <v>0.323378</v>
      </c>
      <c r="F39" s="7">
        <v>1.6598000000000002E-2</v>
      </c>
      <c r="G39" s="7">
        <v>9.5739000000000005E-2</v>
      </c>
      <c r="H39" s="7">
        <v>0.14979899999999999</v>
      </c>
      <c r="I39" s="7">
        <v>1.604177</v>
      </c>
      <c r="J39" s="7">
        <v>0.49130099999999999</v>
      </c>
      <c r="K39" s="7">
        <v>0.38958700000000002</v>
      </c>
      <c r="L39" s="23"/>
      <c r="M39">
        <f t="shared" si="1"/>
        <v>1174918.7135999999</v>
      </c>
      <c r="N39">
        <f t="shared" si="2"/>
        <v>8469437.0762200002</v>
      </c>
      <c r="O39">
        <f t="shared" si="3"/>
        <v>2208835.03412</v>
      </c>
      <c r="P39">
        <f t="shared" si="4"/>
        <v>898395.82447999995</v>
      </c>
      <c r="Q39">
        <f t="shared" si="5"/>
        <v>258782.73760000002</v>
      </c>
      <c r="R39">
        <f t="shared" si="6"/>
        <v>470524.63374000002</v>
      </c>
      <c r="S39">
        <f t="shared" si="7"/>
        <v>204249.43850999998</v>
      </c>
      <c r="T39">
        <f t="shared" si="8"/>
        <v>3428029.9983799998</v>
      </c>
      <c r="U39">
        <f t="shared" si="9"/>
        <v>161306.89212599999</v>
      </c>
      <c r="V39">
        <f t="shared" si="10"/>
        <v>769640.80611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>
      <c r="A40" s="8">
        <v>2000</v>
      </c>
      <c r="B40" s="7">
        <v>3.6072549999999999</v>
      </c>
      <c r="C40" s="7">
        <v>0.87271100000000001</v>
      </c>
      <c r="D40" s="7">
        <v>0.66420599999999996</v>
      </c>
      <c r="E40" s="7">
        <v>0.32560099999999997</v>
      </c>
      <c r="F40" s="7">
        <v>1.6646999999999999E-2</v>
      </c>
      <c r="G40" s="7">
        <v>0.100157</v>
      </c>
      <c r="H40" s="7">
        <v>0.14552000000000001</v>
      </c>
      <c r="I40" s="7">
        <v>1.5577449999999999</v>
      </c>
      <c r="J40" s="7">
        <v>0.49899500000000002</v>
      </c>
      <c r="K40" s="7">
        <v>0.39444899999999999</v>
      </c>
      <c r="L40" s="23"/>
      <c r="M40">
        <f t="shared" si="1"/>
        <v>1164941.3587199999</v>
      </c>
      <c r="N40">
        <f t="shared" si="2"/>
        <v>8215500.6304700002</v>
      </c>
      <c r="O40">
        <f t="shared" si="3"/>
        <v>1989203.98116</v>
      </c>
      <c r="P40">
        <f t="shared" si="4"/>
        <v>904571.67415999994</v>
      </c>
      <c r="Q40">
        <f t="shared" si="5"/>
        <v>259546.70639999997</v>
      </c>
      <c r="R40">
        <f t="shared" si="6"/>
        <v>492237.60161999997</v>
      </c>
      <c r="S40">
        <f t="shared" si="7"/>
        <v>198415.06480000002</v>
      </c>
      <c r="T40">
        <f t="shared" si="8"/>
        <v>3328807.6003</v>
      </c>
      <c r="U40">
        <f t="shared" si="9"/>
        <v>163833.03237</v>
      </c>
      <c r="V40">
        <f t="shared" si="10"/>
        <v>779245.83296999999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>
      <c r="A41" s="8">
        <v>2001</v>
      </c>
      <c r="B41" s="7">
        <v>3.7158289999999998</v>
      </c>
      <c r="C41" s="7">
        <v>0.85380699999999998</v>
      </c>
      <c r="D41" s="7">
        <v>0.75904199999999999</v>
      </c>
      <c r="E41" s="7">
        <v>0.33201199999999997</v>
      </c>
      <c r="F41" s="7">
        <v>1.7732999999999999E-2</v>
      </c>
      <c r="G41" s="7">
        <v>0.107117</v>
      </c>
      <c r="H41" s="7">
        <v>0.153221</v>
      </c>
      <c r="I41" s="7">
        <v>1.8764749999999999</v>
      </c>
      <c r="J41" s="7">
        <v>0.50937399999999999</v>
      </c>
      <c r="K41" s="7">
        <v>0.40283099999999999</v>
      </c>
      <c r="L41" s="23"/>
      <c r="M41">
        <f t="shared" si="1"/>
        <v>1200004.6805759999</v>
      </c>
      <c r="N41">
        <f t="shared" si="2"/>
        <v>8037542.7223899998</v>
      </c>
      <c r="O41">
        <f t="shared" si="3"/>
        <v>2273224.5241200002</v>
      </c>
      <c r="P41">
        <f t="shared" si="4"/>
        <v>922382.45791999996</v>
      </c>
      <c r="Q41">
        <f t="shared" si="5"/>
        <v>276478.74959999998</v>
      </c>
      <c r="R41">
        <f t="shared" si="6"/>
        <v>526443.63522000005</v>
      </c>
      <c r="S41">
        <f t="shared" si="7"/>
        <v>208915.30129</v>
      </c>
      <c r="T41">
        <f t="shared" si="8"/>
        <v>4009914.4864999996</v>
      </c>
      <c r="U41">
        <f t="shared" si="9"/>
        <v>167240.72792400001</v>
      </c>
      <c r="V41">
        <f t="shared" si="10"/>
        <v>795804.72542999999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>
      <c r="A42" s="8">
        <v>2002</v>
      </c>
      <c r="B42" s="7">
        <v>3.6823579999999998</v>
      </c>
      <c r="C42" s="7">
        <v>0.84170100000000003</v>
      </c>
      <c r="D42" s="7">
        <v>0.691527</v>
      </c>
      <c r="E42" s="7">
        <v>0.34260099999999999</v>
      </c>
      <c r="F42" s="7">
        <v>1.9425999999999999E-2</v>
      </c>
      <c r="G42" s="7">
        <v>0.11515499999999999</v>
      </c>
      <c r="H42" s="7">
        <v>0.16281300000000001</v>
      </c>
      <c r="I42" s="7">
        <v>1.4738420000000001</v>
      </c>
      <c r="J42" s="7">
        <v>0.52374399999999999</v>
      </c>
      <c r="K42" s="7">
        <v>0.417155</v>
      </c>
      <c r="L42" s="23"/>
      <c r="M42">
        <f t="shared" si="1"/>
        <v>1189195.4219519999</v>
      </c>
      <c r="N42">
        <f t="shared" si="2"/>
        <v>7923579.6227700002</v>
      </c>
      <c r="O42">
        <f t="shared" si="3"/>
        <v>2071026.55122</v>
      </c>
      <c r="P42">
        <f t="shared" si="4"/>
        <v>951800.39416000003</v>
      </c>
      <c r="Q42">
        <f t="shared" si="5"/>
        <v>302874.65119999996</v>
      </c>
      <c r="R42">
        <f t="shared" si="6"/>
        <v>565947.67229999998</v>
      </c>
      <c r="S42">
        <f t="shared" si="7"/>
        <v>221993.89737000002</v>
      </c>
      <c r="T42">
        <f t="shared" si="8"/>
        <v>3149511.9234800003</v>
      </c>
      <c r="U42">
        <f t="shared" si="9"/>
        <v>171958.77254400001</v>
      </c>
      <c r="V42">
        <f t="shared" si="10"/>
        <v>824102.21715000004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>
      <c r="A43" s="8">
        <v>2003</v>
      </c>
      <c r="B43" s="7">
        <v>3.6663380000000001</v>
      </c>
      <c r="C43" s="7">
        <v>0.83487</v>
      </c>
      <c r="D43" s="7">
        <v>0.610182</v>
      </c>
      <c r="E43" s="7">
        <v>0.35692699999999999</v>
      </c>
      <c r="F43" s="7">
        <v>2.2227E-2</v>
      </c>
      <c r="G43" s="7">
        <v>0.124363</v>
      </c>
      <c r="H43" s="7">
        <v>0.17049400000000001</v>
      </c>
      <c r="I43" s="7">
        <v>1.8510850000000001</v>
      </c>
      <c r="J43" s="7">
        <v>0.53967600000000004</v>
      </c>
      <c r="K43" s="7">
        <v>0.43504900000000002</v>
      </c>
      <c r="L43" s="23"/>
      <c r="M43">
        <f t="shared" si="1"/>
        <v>1184021.859072</v>
      </c>
      <c r="N43">
        <f t="shared" si="2"/>
        <v>7859274.1599000003</v>
      </c>
      <c r="O43">
        <f t="shared" si="3"/>
        <v>1827409.6645200001</v>
      </c>
      <c r="P43">
        <f t="shared" si="4"/>
        <v>991600.31432</v>
      </c>
      <c r="Q43">
        <f t="shared" si="5"/>
        <v>346545.60240000003</v>
      </c>
      <c r="R43">
        <f t="shared" si="6"/>
        <v>611201.86158000003</v>
      </c>
      <c r="S43">
        <f t="shared" si="7"/>
        <v>232466.86406000002</v>
      </c>
      <c r="T43">
        <f t="shared" si="8"/>
        <v>3955657.5799000002</v>
      </c>
      <c r="U43">
        <f t="shared" si="9"/>
        <v>177189.66237600002</v>
      </c>
      <c r="V43">
        <f t="shared" si="10"/>
        <v>859452.35097000003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>
      <c r="A44" s="8">
        <v>2004</v>
      </c>
      <c r="B44" s="7">
        <v>4.0075209999999997</v>
      </c>
      <c r="C44" s="7">
        <v>0.82793399999999995</v>
      </c>
      <c r="D44" s="7">
        <v>0.85122399999999998</v>
      </c>
      <c r="E44" s="7">
        <v>0.372058</v>
      </c>
      <c r="F44" s="7">
        <v>2.5325E-2</v>
      </c>
      <c r="G44" s="7">
        <v>0.129409</v>
      </c>
      <c r="H44" s="7">
        <v>0.16761899999999999</v>
      </c>
      <c r="I44" s="7">
        <v>1.3954660000000001</v>
      </c>
      <c r="J44" s="7">
        <v>0.55344899999999997</v>
      </c>
      <c r="K44" s="7">
        <v>0.448077</v>
      </c>
      <c r="L44" s="23"/>
      <c r="M44">
        <f t="shared" si="1"/>
        <v>1294204.8618239998</v>
      </c>
      <c r="N44">
        <f t="shared" si="2"/>
        <v>7793980.2511799997</v>
      </c>
      <c r="O44">
        <f t="shared" si="3"/>
        <v>2549296.7086399999</v>
      </c>
      <c r="P44">
        <f t="shared" si="4"/>
        <v>1033636.65328</v>
      </c>
      <c r="Q44">
        <f t="shared" si="5"/>
        <v>394847.14</v>
      </c>
      <c r="R44">
        <f t="shared" si="6"/>
        <v>636001.23593999993</v>
      </c>
      <c r="S44">
        <f t="shared" si="7"/>
        <v>228546.83030999999</v>
      </c>
      <c r="T44">
        <f t="shared" si="8"/>
        <v>2982027.1140400004</v>
      </c>
      <c r="U44">
        <f t="shared" si="9"/>
        <v>181711.69637399999</v>
      </c>
      <c r="V44">
        <f t="shared" si="10"/>
        <v>885189.55581000005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>
      <c r="A45" s="8">
        <v>2005</v>
      </c>
      <c r="B45" s="7">
        <v>3.8914119999999999</v>
      </c>
      <c r="C45" s="7">
        <v>0.82502200000000003</v>
      </c>
      <c r="D45" s="7">
        <v>0.88165499999999997</v>
      </c>
      <c r="E45" s="7">
        <v>0.38780399999999998</v>
      </c>
      <c r="F45" s="7">
        <v>2.7812E-2</v>
      </c>
      <c r="G45" s="7">
        <v>0.131718</v>
      </c>
      <c r="H45" s="7">
        <v>0.18531900000000001</v>
      </c>
      <c r="I45" s="7">
        <v>1.414075</v>
      </c>
      <c r="J45" s="7">
        <v>0.56324600000000002</v>
      </c>
      <c r="K45" s="7">
        <v>0.46165099999999998</v>
      </c>
      <c r="L45" s="23"/>
      <c r="M45">
        <f t="shared" si="1"/>
        <v>1256708.156928</v>
      </c>
      <c r="N45">
        <f t="shared" si="2"/>
        <v>7766567.3529400006</v>
      </c>
      <c r="O45">
        <f t="shared" si="3"/>
        <v>2640433.2933</v>
      </c>
      <c r="P45">
        <f t="shared" si="4"/>
        <v>1077381.56064</v>
      </c>
      <c r="Q45">
        <f t="shared" si="5"/>
        <v>433622.45439999999</v>
      </c>
      <c r="R45">
        <f t="shared" si="6"/>
        <v>647349.18588</v>
      </c>
      <c r="S45">
        <f t="shared" si="7"/>
        <v>252680.60331000001</v>
      </c>
      <c r="T45">
        <f t="shared" si="8"/>
        <v>3021793.4304999998</v>
      </c>
      <c r="U45">
        <f t="shared" si="9"/>
        <v>184928.30619600002</v>
      </c>
      <c r="V45">
        <f t="shared" si="10"/>
        <v>912005.4000299999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>
      <c r="A46" s="8">
        <v>2006</v>
      </c>
      <c r="B46" s="7">
        <v>3.7938909999999999</v>
      </c>
      <c r="C46" s="7">
        <v>0.82115700000000003</v>
      </c>
      <c r="D46" s="7">
        <v>0.72583299999999995</v>
      </c>
      <c r="E46" s="7">
        <v>0.39400000000000002</v>
      </c>
      <c r="F46" s="7">
        <v>3.0976E-2</v>
      </c>
      <c r="G46" s="7">
        <v>0.13506599999999999</v>
      </c>
      <c r="H46" s="7">
        <v>0.176262</v>
      </c>
      <c r="I46" s="7">
        <v>1.643011</v>
      </c>
      <c r="J46" s="7">
        <v>0.57394000000000001</v>
      </c>
      <c r="K46" s="7">
        <v>0.47584399999999999</v>
      </c>
      <c r="L46" s="23"/>
      <c r="M46">
        <f t="shared" si="1"/>
        <v>1225214.3351040001</v>
      </c>
      <c r="N46">
        <f t="shared" si="2"/>
        <v>7730183.1318899998</v>
      </c>
      <c r="O46">
        <f t="shared" si="3"/>
        <v>2173768.21838</v>
      </c>
      <c r="P46">
        <f t="shared" si="4"/>
        <v>1094595.04</v>
      </c>
      <c r="Q46">
        <f t="shared" si="5"/>
        <v>482953.01120000001</v>
      </c>
      <c r="R46">
        <f t="shared" si="6"/>
        <v>663803.4675599999</v>
      </c>
      <c r="S46">
        <f t="shared" si="7"/>
        <v>240331.47438</v>
      </c>
      <c r="T46">
        <f t="shared" si="8"/>
        <v>3511015.9263399998</v>
      </c>
      <c r="U46">
        <f t="shared" si="9"/>
        <v>188439.42444</v>
      </c>
      <c r="V46">
        <f t="shared" si="10"/>
        <v>940044.09731999994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>
      <c r="A47" s="8">
        <v>2007</v>
      </c>
      <c r="B47" s="7">
        <v>3.7025969999999999</v>
      </c>
      <c r="C47" s="7">
        <v>0.81511</v>
      </c>
      <c r="D47" s="7">
        <v>0.60270000000000001</v>
      </c>
      <c r="E47" s="7">
        <v>0.40449600000000002</v>
      </c>
      <c r="F47" s="7">
        <v>3.4513000000000002E-2</v>
      </c>
      <c r="G47" s="7">
        <v>0.140205</v>
      </c>
      <c r="H47" s="7">
        <v>0.17885899999999999</v>
      </c>
      <c r="I47" s="7">
        <v>1.234307</v>
      </c>
      <c r="J47" s="7">
        <v>0.58656299999999995</v>
      </c>
      <c r="K47" s="7">
        <v>0.48853000000000002</v>
      </c>
      <c r="L47" s="23"/>
      <c r="M47">
        <f t="shared" si="1"/>
        <v>1195731.485568</v>
      </c>
      <c r="N47">
        <f t="shared" si="2"/>
        <v>7673258.0647</v>
      </c>
      <c r="O47">
        <f t="shared" si="3"/>
        <v>1805002.122</v>
      </c>
      <c r="P47">
        <f t="shared" si="4"/>
        <v>1123754.60736</v>
      </c>
      <c r="Q47">
        <f t="shared" si="5"/>
        <v>538099.08559999999</v>
      </c>
      <c r="R47">
        <f t="shared" si="6"/>
        <v>689059.90529999998</v>
      </c>
      <c r="S47">
        <f t="shared" si="7"/>
        <v>243872.45791</v>
      </c>
      <c r="T47">
        <f t="shared" si="8"/>
        <v>2637640.0005800002</v>
      </c>
      <c r="U47">
        <f t="shared" si="9"/>
        <v>192583.88353799999</v>
      </c>
      <c r="V47">
        <f t="shared" si="10"/>
        <v>965105.67090000003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>
      <c r="A48" s="8">
        <v>2008</v>
      </c>
      <c r="B48" s="7">
        <v>3.6176590000000002</v>
      </c>
      <c r="C48" s="7">
        <v>0.81584900000000005</v>
      </c>
      <c r="D48" s="7">
        <v>0.57850199999999996</v>
      </c>
      <c r="E48" s="7">
        <v>0.41696699999999998</v>
      </c>
      <c r="F48" s="7">
        <v>3.8123999999999998E-2</v>
      </c>
      <c r="G48" s="7">
        <v>0.14587600000000001</v>
      </c>
      <c r="H48" s="7">
        <v>0.18206900000000001</v>
      </c>
      <c r="I48" s="7">
        <v>1.5821419999999999</v>
      </c>
      <c r="J48" s="7">
        <v>0.59905600000000003</v>
      </c>
      <c r="K48" s="7">
        <v>0.49767099999999997</v>
      </c>
      <c r="L48" s="23"/>
      <c r="M48">
        <f t="shared" si="1"/>
        <v>1168301.268096</v>
      </c>
      <c r="N48">
        <f t="shared" si="2"/>
        <v>7680214.8407300003</v>
      </c>
      <c r="O48">
        <f t="shared" si="3"/>
        <v>1732532.49972</v>
      </c>
      <c r="P48">
        <f t="shared" si="4"/>
        <v>1158401.0407199999</v>
      </c>
      <c r="Q48">
        <f t="shared" si="5"/>
        <v>594398.90879999998</v>
      </c>
      <c r="R48">
        <f t="shared" si="6"/>
        <v>716930.94215999998</v>
      </c>
      <c r="S48">
        <f t="shared" si="7"/>
        <v>248249.26081000001</v>
      </c>
      <c r="T48">
        <f t="shared" si="8"/>
        <v>3380942.5254799998</v>
      </c>
      <c r="U48">
        <f t="shared" si="9"/>
        <v>196685.660256</v>
      </c>
      <c r="V48">
        <f t="shared" si="10"/>
        <v>983163.9906299999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50">
      <c r="A49" s="8">
        <v>2009</v>
      </c>
      <c r="B49" s="7">
        <v>3.5450629999999999</v>
      </c>
      <c r="C49" s="7">
        <v>0.81409600000000004</v>
      </c>
      <c r="D49" s="7">
        <v>0.48636099999999999</v>
      </c>
      <c r="E49" s="7">
        <v>0.43644899999999998</v>
      </c>
      <c r="F49" s="7">
        <v>4.1977E-2</v>
      </c>
      <c r="G49" s="7">
        <v>0.151037</v>
      </c>
      <c r="H49" s="7">
        <v>0.179477</v>
      </c>
      <c r="I49" s="7">
        <v>1.8535470000000001</v>
      </c>
      <c r="J49" s="7">
        <v>0.61046900000000004</v>
      </c>
      <c r="K49" s="7">
        <v>0.51031099999999996</v>
      </c>
      <c r="L49" s="23"/>
      <c r="M49">
        <f t="shared" si="1"/>
        <v>1144856.8254720001</v>
      </c>
      <c r="N49">
        <f t="shared" si="2"/>
        <v>7663712.5019200006</v>
      </c>
      <c r="O49">
        <f t="shared" si="3"/>
        <v>1456583.1044600001</v>
      </c>
      <c r="P49">
        <f t="shared" si="4"/>
        <v>1212525.15384</v>
      </c>
      <c r="Q49">
        <f t="shared" si="5"/>
        <v>654471.80240000004</v>
      </c>
      <c r="R49">
        <f t="shared" si="6"/>
        <v>742295.50242000003</v>
      </c>
      <c r="S49">
        <f t="shared" si="7"/>
        <v>244715.09472999998</v>
      </c>
      <c r="T49">
        <f t="shared" si="8"/>
        <v>3960918.7261800002</v>
      </c>
      <c r="U49">
        <f t="shared" si="9"/>
        <v>200432.84489400001</v>
      </c>
      <c r="V49">
        <f t="shared" si="10"/>
        <v>1008134.6898299999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50">
      <c r="A50" s="8">
        <v>2010</v>
      </c>
      <c r="B50" s="7">
        <v>3.4787400000000002</v>
      </c>
      <c r="C50" s="7">
        <v>0.81151399999999996</v>
      </c>
      <c r="D50" s="7">
        <v>0.43354199999999998</v>
      </c>
      <c r="E50" s="7">
        <v>0.45144000000000001</v>
      </c>
      <c r="F50" s="7">
        <v>4.5790999999999998E-2</v>
      </c>
      <c r="G50" s="7">
        <v>0.15634799999999999</v>
      </c>
      <c r="H50" s="7">
        <v>0.184922</v>
      </c>
      <c r="I50" s="7">
        <v>2.1310549999999999</v>
      </c>
      <c r="J50" s="7">
        <v>0.61643800000000004</v>
      </c>
      <c r="K50" s="7">
        <v>0.51985599999999998</v>
      </c>
      <c r="L50" s="23"/>
      <c r="M50">
        <f t="shared" si="1"/>
        <v>1123438.21056</v>
      </c>
      <c r="N50">
        <f t="shared" si="2"/>
        <v>7639406.1477799993</v>
      </c>
      <c r="O50">
        <f t="shared" si="3"/>
        <v>1298397.59412</v>
      </c>
      <c r="P50">
        <f t="shared" si="4"/>
        <v>1254172.5504000001</v>
      </c>
      <c r="Q50">
        <f t="shared" si="5"/>
        <v>713936.63919999998</v>
      </c>
      <c r="R50">
        <f t="shared" si="6"/>
        <v>768397.26167999988</v>
      </c>
      <c r="S50">
        <f t="shared" si="7"/>
        <v>252139.29777999999</v>
      </c>
      <c r="T50">
        <f t="shared" si="8"/>
        <v>4553936.6716999998</v>
      </c>
      <c r="U50">
        <f t="shared" si="9"/>
        <v>202392.62278800001</v>
      </c>
      <c r="V50">
        <f t="shared" si="10"/>
        <v>1026991.12368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50">
      <c r="A51" s="8">
        <v>2011</v>
      </c>
      <c r="B51" s="7">
        <v>3.4207939999999999</v>
      </c>
      <c r="C51" s="7">
        <v>0.81238500000000002</v>
      </c>
      <c r="D51" s="7">
        <v>0.45213799999999998</v>
      </c>
      <c r="E51" s="7">
        <v>0.46106200000000003</v>
      </c>
      <c r="F51" s="7">
        <v>4.7829000000000003E-2</v>
      </c>
      <c r="G51" s="7">
        <v>0.160936</v>
      </c>
      <c r="H51" s="7">
        <v>0.18474199999999999</v>
      </c>
      <c r="I51" s="7">
        <v>2.450742</v>
      </c>
      <c r="J51" s="7">
        <v>0.624691</v>
      </c>
      <c r="K51" s="7">
        <v>0.53154599999999996</v>
      </c>
      <c r="L51" s="23"/>
      <c r="M51">
        <f t="shared" si="1"/>
        <v>1104724.897536</v>
      </c>
      <c r="N51">
        <f t="shared" si="2"/>
        <v>7647605.5414500004</v>
      </c>
      <c r="O51">
        <f t="shared" si="3"/>
        <v>1354090.0106800001</v>
      </c>
      <c r="P51">
        <f t="shared" si="4"/>
        <v>1280904.0059200001</v>
      </c>
      <c r="Q51">
        <f t="shared" si="5"/>
        <v>745711.50480000011</v>
      </c>
      <c r="R51">
        <f t="shared" si="6"/>
        <v>790945.72175999999</v>
      </c>
      <c r="S51">
        <f t="shared" si="7"/>
        <v>251893.86958</v>
      </c>
      <c r="T51">
        <f t="shared" si="8"/>
        <v>5237088.6094800001</v>
      </c>
      <c r="U51">
        <f t="shared" si="9"/>
        <v>205102.29726600001</v>
      </c>
      <c r="V51">
        <f t="shared" si="10"/>
        <v>1050085.06938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50">
      <c r="A52" s="8">
        <v>2012</v>
      </c>
      <c r="B52" s="7">
        <v>3.387575</v>
      </c>
      <c r="C52" s="7">
        <v>0.81746799999999997</v>
      </c>
      <c r="D52" s="7">
        <v>0.40687800000000002</v>
      </c>
      <c r="E52" s="7">
        <v>0.46688299999999999</v>
      </c>
      <c r="F52" s="7">
        <v>5.0574000000000001E-2</v>
      </c>
      <c r="G52" s="7">
        <v>0.16342599999999999</v>
      </c>
      <c r="H52" s="7">
        <v>0.18531600000000001</v>
      </c>
      <c r="I52" s="7">
        <v>2.7111869999999998</v>
      </c>
      <c r="J52" s="7">
        <v>0.63176600000000005</v>
      </c>
      <c r="K52" s="7">
        <v>0.54293999999999998</v>
      </c>
      <c r="L52" s="23"/>
      <c r="M52">
        <f t="shared" si="1"/>
        <v>1093997.0208000001</v>
      </c>
      <c r="N52">
        <f t="shared" si="2"/>
        <v>7695455.7343600001</v>
      </c>
      <c r="O52">
        <f t="shared" si="3"/>
        <v>1218542.64708</v>
      </c>
      <c r="P52">
        <f t="shared" si="4"/>
        <v>1297075.6752800001</v>
      </c>
      <c r="Q52">
        <f t="shared" si="5"/>
        <v>788509.34880000004</v>
      </c>
      <c r="R52">
        <f t="shared" si="6"/>
        <v>803183.22515999991</v>
      </c>
      <c r="S52">
        <f t="shared" si="7"/>
        <v>252676.51284000001</v>
      </c>
      <c r="T52">
        <f t="shared" si="8"/>
        <v>5793643.9477799991</v>
      </c>
      <c r="U52">
        <f t="shared" si="9"/>
        <v>207425.20371600002</v>
      </c>
      <c r="V52">
        <f t="shared" si="10"/>
        <v>1072594.2582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50">
      <c r="A53" s="8">
        <v>2013</v>
      </c>
      <c r="B53" s="7">
        <v>3.332144</v>
      </c>
      <c r="C53" s="7">
        <v>0.81884999999999997</v>
      </c>
      <c r="D53" s="7">
        <v>0.37830200000000003</v>
      </c>
      <c r="E53" s="7">
        <v>0.47650799999999999</v>
      </c>
      <c r="F53" s="7">
        <v>5.4008E-2</v>
      </c>
      <c r="G53" s="7">
        <v>0.16959099999999999</v>
      </c>
      <c r="H53" s="7">
        <v>0.187996</v>
      </c>
      <c r="I53" s="7">
        <v>3.0047329999999999</v>
      </c>
      <c r="J53" s="7">
        <v>0.64091100000000001</v>
      </c>
      <c r="K53" s="7">
        <v>0.55810599999999999</v>
      </c>
      <c r="L53" s="23"/>
      <c r="M53">
        <f t="shared" si="1"/>
        <v>1076095.911936</v>
      </c>
      <c r="N53">
        <f t="shared" si="2"/>
        <v>7708465.5644999994</v>
      </c>
      <c r="O53">
        <f t="shared" si="3"/>
        <v>1132961.5277200001</v>
      </c>
      <c r="P53">
        <f t="shared" si="4"/>
        <v>1323815.4652799999</v>
      </c>
      <c r="Q53">
        <f t="shared" si="5"/>
        <v>842049.52960000001</v>
      </c>
      <c r="R53">
        <f t="shared" si="6"/>
        <v>833482.10405999993</v>
      </c>
      <c r="S53">
        <f t="shared" si="7"/>
        <v>256330.66603999998</v>
      </c>
      <c r="T53">
        <f t="shared" si="8"/>
        <v>6420934.1370199993</v>
      </c>
      <c r="U53">
        <f t="shared" si="9"/>
        <v>210427.74498600001</v>
      </c>
      <c r="V53">
        <f t="shared" si="10"/>
        <v>1102555.1461799999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50">
      <c r="A54" s="8">
        <v>2014</v>
      </c>
      <c r="B54" s="7">
        <v>3.511841</v>
      </c>
      <c r="C54" s="7">
        <v>0.82039499999999999</v>
      </c>
      <c r="D54" s="7">
        <v>0.359657</v>
      </c>
      <c r="E54" s="7">
        <v>0.48244900000000002</v>
      </c>
      <c r="F54" s="7">
        <v>5.6339E-2</v>
      </c>
      <c r="G54" s="7">
        <v>0.17200799999999999</v>
      </c>
      <c r="H54" s="7">
        <v>0.192438</v>
      </c>
      <c r="I54" s="7">
        <v>2.303023</v>
      </c>
      <c r="J54" s="7">
        <v>0.64732999999999996</v>
      </c>
      <c r="K54" s="7">
        <v>0.57079100000000005</v>
      </c>
      <c r="L54" s="23"/>
      <c r="M54">
        <f t="shared" si="1"/>
        <v>1134127.9799039999</v>
      </c>
      <c r="N54">
        <f t="shared" si="2"/>
        <v>7723009.8391499994</v>
      </c>
      <c r="O54">
        <f t="shared" si="3"/>
        <v>1077122.36302</v>
      </c>
      <c r="P54">
        <f t="shared" si="4"/>
        <v>1340320.5138400001</v>
      </c>
      <c r="Q54">
        <f t="shared" si="5"/>
        <v>878392.61679999996</v>
      </c>
      <c r="R54">
        <f t="shared" si="6"/>
        <v>845360.83727999998</v>
      </c>
      <c r="S54">
        <f t="shared" si="7"/>
        <v>262387.28862000001</v>
      </c>
      <c r="T54">
        <f t="shared" si="8"/>
        <v>4921421.9696199996</v>
      </c>
      <c r="U54">
        <f t="shared" si="9"/>
        <v>212535.26957999999</v>
      </c>
      <c r="V54">
        <f t="shared" si="10"/>
        <v>1127614.7442300001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50">
      <c r="A55" s="9">
        <v>2014.14</v>
      </c>
      <c r="B55" s="7">
        <v>3.5247790000000001</v>
      </c>
      <c r="C55" s="7">
        <v>0.82442300000000002</v>
      </c>
      <c r="D55" s="7">
        <v>0.36822199999999999</v>
      </c>
      <c r="E55" s="7">
        <v>0.483101</v>
      </c>
      <c r="F55" s="7">
        <v>5.5022000000000001E-2</v>
      </c>
      <c r="G55" s="7">
        <v>0.16964000000000001</v>
      </c>
      <c r="H55" s="7">
        <v>0.18198600000000001</v>
      </c>
      <c r="I55" s="7">
        <v>2.3047080000000002</v>
      </c>
      <c r="J55" s="7">
        <v>0.599719</v>
      </c>
      <c r="K55" s="7">
        <v>0.56713800000000003</v>
      </c>
      <c r="L55" s="23"/>
      <c r="M55">
        <f t="shared" si="1"/>
        <v>1138306.2293760001</v>
      </c>
      <c r="N55">
        <f t="shared" si="2"/>
        <v>7760928.50471</v>
      </c>
      <c r="O55">
        <f t="shared" si="3"/>
        <v>1102773.33892</v>
      </c>
      <c r="P55">
        <f t="shared" si="4"/>
        <v>1342131.8741600001</v>
      </c>
      <c r="Q55">
        <f t="shared" si="5"/>
        <v>857859.00640000007</v>
      </c>
      <c r="R55">
        <f t="shared" si="6"/>
        <v>833722.92240000004</v>
      </c>
      <c r="S55">
        <f t="shared" si="7"/>
        <v>248136.09114</v>
      </c>
      <c r="T55">
        <f t="shared" si="8"/>
        <v>4925022.7135200007</v>
      </c>
      <c r="U55">
        <f t="shared" si="9"/>
        <v>196903.340394</v>
      </c>
      <c r="V55">
        <f t="shared" si="10"/>
        <v>1120398.13314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>
      <c r="A56" s="8"/>
      <c r="B56" s="7" t="s">
        <v>210</v>
      </c>
      <c r="C56" s="7" t="s">
        <v>211</v>
      </c>
      <c r="D56" s="7" t="s">
        <v>203</v>
      </c>
      <c r="E56" s="7" t="s">
        <v>206</v>
      </c>
      <c r="F56" s="7" t="s">
        <v>208</v>
      </c>
      <c r="G56" s="7" t="s">
        <v>209</v>
      </c>
      <c r="H56" s="7" t="s">
        <v>204</v>
      </c>
      <c r="I56" s="7" t="s">
        <v>202</v>
      </c>
      <c r="J56" s="7" t="s">
        <v>207</v>
      </c>
      <c r="K56" s="7" t="s">
        <v>205</v>
      </c>
    </row>
  </sheetData>
  <pageMargins left="0.7" right="0.7" top="0.75" bottom="0.75" header="0.3" footer="0.3"/>
  <pageSetup orientation="portrait" horizontalDpi="1200" verticalDpi="12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selection activeCell="H6" sqref="H6"/>
    </sheetView>
  </sheetViews>
  <sheetFormatPr baseColWidth="10" defaultColWidth="8.83203125" defaultRowHeight="14" x14ac:dyDescent="0"/>
  <sheetData>
    <row r="1" spans="1:8">
      <c r="B1" t="s">
        <v>122</v>
      </c>
      <c r="D1" t="s">
        <v>226</v>
      </c>
      <c r="E1" t="s">
        <v>243</v>
      </c>
      <c r="F1" t="s">
        <v>246</v>
      </c>
    </row>
    <row r="2" spans="1:8">
      <c r="A2">
        <v>1968</v>
      </c>
      <c r="B2">
        <v>153.30000000000001</v>
      </c>
      <c r="D2" t="s">
        <v>177</v>
      </c>
      <c r="E2" t="s">
        <v>244</v>
      </c>
      <c r="F2" s="14">
        <v>41275</v>
      </c>
      <c r="G2" t="s">
        <v>245</v>
      </c>
    </row>
    <row r="3" spans="1:8">
      <c r="A3">
        <v>1969</v>
      </c>
      <c r="B3">
        <v>97.3</v>
      </c>
      <c r="D3">
        <v>1960</v>
      </c>
      <c r="E3">
        <v>137525</v>
      </c>
      <c r="F3">
        <v>261928</v>
      </c>
    </row>
    <row r="4" spans="1:8">
      <c r="A4">
        <v>1970</v>
      </c>
      <c r="B4">
        <v>72.900000000000006</v>
      </c>
      <c r="D4">
        <v>1961</v>
      </c>
      <c r="E4">
        <v>171975</v>
      </c>
      <c r="F4">
        <v>266177</v>
      </c>
    </row>
    <row r="5" spans="1:8">
      <c r="A5">
        <v>1971</v>
      </c>
      <c r="B5">
        <v>134.19999999999999</v>
      </c>
      <c r="D5">
        <v>1962</v>
      </c>
      <c r="E5">
        <v>179431</v>
      </c>
      <c r="F5">
        <v>246772</v>
      </c>
    </row>
    <row r="6" spans="1:8">
      <c r="A6">
        <v>1972</v>
      </c>
      <c r="B6">
        <v>274.10000000000002</v>
      </c>
      <c r="D6">
        <v>1963</v>
      </c>
      <c r="E6">
        <v>163737</v>
      </c>
      <c r="F6">
        <v>290348</v>
      </c>
      <c r="H6" t="s">
        <v>247</v>
      </c>
    </row>
    <row r="7" spans="1:8">
      <c r="A7">
        <v>1973</v>
      </c>
      <c r="B7">
        <v>346.5</v>
      </c>
      <c r="D7">
        <v>1964</v>
      </c>
      <c r="E7">
        <v>167402</v>
      </c>
      <c r="F7">
        <v>447882</v>
      </c>
      <c r="H7" s="13">
        <v>15591200</v>
      </c>
    </row>
    <row r="8" spans="1:8">
      <c r="A8">
        <v>1974</v>
      </c>
      <c r="B8">
        <v>404.1</v>
      </c>
      <c r="D8">
        <v>1965</v>
      </c>
      <c r="E8">
        <v>217565</v>
      </c>
      <c r="F8">
        <v>427380</v>
      </c>
      <c r="H8">
        <v>8445581.536799999</v>
      </c>
    </row>
    <row r="9" spans="1:8">
      <c r="A9">
        <v>1975</v>
      </c>
      <c r="B9">
        <v>234</v>
      </c>
      <c r="D9">
        <v>1966</v>
      </c>
      <c r="E9">
        <v>186839</v>
      </c>
      <c r="F9">
        <v>265251</v>
      </c>
      <c r="H9">
        <v>6883639.5296</v>
      </c>
    </row>
    <row r="10" spans="1:8">
      <c r="A10">
        <v>1976</v>
      </c>
      <c r="B10">
        <v>218.3</v>
      </c>
      <c r="D10">
        <v>1967</v>
      </c>
      <c r="E10">
        <v>106435</v>
      </c>
      <c r="F10">
        <v>137889</v>
      </c>
      <c r="H10">
        <v>5918856.0736000007</v>
      </c>
    </row>
    <row r="11" spans="1:8">
      <c r="A11">
        <v>1977</v>
      </c>
      <c r="B11">
        <v>145.9</v>
      </c>
      <c r="D11">
        <v>1968</v>
      </c>
      <c r="E11">
        <v>71846</v>
      </c>
      <c r="F11">
        <v>91654</v>
      </c>
      <c r="H11">
        <v>5222288.0312000001</v>
      </c>
    </row>
    <row r="12" spans="1:8">
      <c r="A12">
        <v>1978</v>
      </c>
      <c r="B12">
        <v>219.8</v>
      </c>
      <c r="D12">
        <v>1969</v>
      </c>
      <c r="E12">
        <v>47766</v>
      </c>
      <c r="F12">
        <v>57663</v>
      </c>
      <c r="H12">
        <v>4622572.5232000006</v>
      </c>
    </row>
    <row r="13" spans="1:8">
      <c r="A13">
        <v>1979</v>
      </c>
      <c r="B13">
        <v>72.7</v>
      </c>
      <c r="D13">
        <v>1970</v>
      </c>
      <c r="E13">
        <v>34913</v>
      </c>
      <c r="F13">
        <v>43090</v>
      </c>
      <c r="H13">
        <v>4177272.2600000002</v>
      </c>
    </row>
    <row r="14" spans="1:8">
      <c r="A14">
        <v>1980</v>
      </c>
      <c r="B14">
        <v>292.39999999999998</v>
      </c>
      <c r="D14">
        <v>1971</v>
      </c>
      <c r="E14">
        <v>24771</v>
      </c>
      <c r="F14">
        <v>31422</v>
      </c>
      <c r="H14">
        <v>3782799.3088000002</v>
      </c>
    </row>
    <row r="15" spans="1:8">
      <c r="A15">
        <v>1981</v>
      </c>
      <c r="B15">
        <v>399.5</v>
      </c>
      <c r="D15">
        <v>1972</v>
      </c>
      <c r="E15">
        <v>23222</v>
      </c>
      <c r="F15">
        <v>30466</v>
      </c>
      <c r="H15">
        <v>3462587.2431999999</v>
      </c>
    </row>
    <row r="16" spans="1:8">
      <c r="A16">
        <v>1982</v>
      </c>
      <c r="B16">
        <v>694.6</v>
      </c>
      <c r="D16">
        <v>1973</v>
      </c>
      <c r="E16">
        <v>15889</v>
      </c>
      <c r="F16">
        <v>29102</v>
      </c>
      <c r="H16">
        <v>3199750.7936</v>
      </c>
    </row>
    <row r="17" spans="1:8">
      <c r="A17">
        <v>1983</v>
      </c>
      <c r="B17">
        <v>250.1</v>
      </c>
      <c r="D17">
        <v>1974</v>
      </c>
      <c r="E17">
        <v>29695</v>
      </c>
      <c r="F17">
        <v>44728</v>
      </c>
      <c r="H17">
        <v>2969577.9079999998</v>
      </c>
    </row>
    <row r="18" spans="1:8">
      <c r="A18">
        <v>1984</v>
      </c>
      <c r="B18">
        <v>264.89999999999998</v>
      </c>
      <c r="D18">
        <v>1975</v>
      </c>
      <c r="E18">
        <v>22061</v>
      </c>
      <c r="F18">
        <v>32703</v>
      </c>
      <c r="H18">
        <v>2769620.7679999997</v>
      </c>
    </row>
    <row r="19" spans="1:8">
      <c r="A19">
        <v>1985</v>
      </c>
      <c r="B19">
        <v>1056.7</v>
      </c>
      <c r="D19">
        <v>1976</v>
      </c>
      <c r="E19">
        <v>28598</v>
      </c>
      <c r="F19">
        <v>68128</v>
      </c>
      <c r="H19">
        <v>2562865.8648000001</v>
      </c>
    </row>
    <row r="20" spans="1:8">
      <c r="A20">
        <v>1986</v>
      </c>
      <c r="B20">
        <v>278.2</v>
      </c>
      <c r="D20">
        <v>1977</v>
      </c>
      <c r="E20">
        <v>49855</v>
      </c>
      <c r="F20">
        <v>94994</v>
      </c>
      <c r="H20">
        <v>2366401.1535999998</v>
      </c>
    </row>
    <row r="21" spans="1:8">
      <c r="A21">
        <v>1987</v>
      </c>
      <c r="B21">
        <v>550</v>
      </c>
      <c r="D21">
        <v>1978</v>
      </c>
      <c r="E21">
        <v>76793</v>
      </c>
      <c r="F21">
        <v>99301</v>
      </c>
      <c r="H21">
        <v>2194211.9408</v>
      </c>
    </row>
    <row r="22" spans="1:8">
      <c r="A22">
        <v>1988</v>
      </c>
      <c r="B22">
        <v>708.4</v>
      </c>
      <c r="D22">
        <v>1979</v>
      </c>
      <c r="E22">
        <v>72409</v>
      </c>
      <c r="F22">
        <v>116118</v>
      </c>
      <c r="H22">
        <v>2006930.4464</v>
      </c>
    </row>
    <row r="23" spans="1:8">
      <c r="A23">
        <v>1989</v>
      </c>
      <c r="B23">
        <v>463.9</v>
      </c>
      <c r="D23">
        <v>1980</v>
      </c>
      <c r="E23">
        <v>71227</v>
      </c>
      <c r="F23">
        <v>115195</v>
      </c>
      <c r="H23">
        <v>1841819.6384000001</v>
      </c>
    </row>
    <row r="24" spans="1:8">
      <c r="A24">
        <v>1990</v>
      </c>
      <c r="B24">
        <v>939.3</v>
      </c>
      <c r="D24">
        <v>1981</v>
      </c>
      <c r="E24">
        <v>61538</v>
      </c>
      <c r="F24">
        <v>79618</v>
      </c>
      <c r="H24">
        <v>1685845.2736</v>
      </c>
    </row>
    <row r="25" spans="1:8">
      <c r="A25">
        <v>1991</v>
      </c>
      <c r="B25">
        <v>547.4</v>
      </c>
      <c r="D25">
        <v>1982</v>
      </c>
      <c r="E25">
        <v>49505</v>
      </c>
      <c r="F25">
        <v>59318</v>
      </c>
      <c r="H25">
        <v>1519315.6664</v>
      </c>
    </row>
    <row r="26" spans="1:8">
      <c r="A26">
        <v>1992</v>
      </c>
      <c r="B26">
        <v>735.9</v>
      </c>
      <c r="D26">
        <v>1983</v>
      </c>
      <c r="E26">
        <v>38684</v>
      </c>
      <c r="F26">
        <v>45588</v>
      </c>
      <c r="H26">
        <v>1346066.2519999999</v>
      </c>
    </row>
    <row r="27" spans="1:8">
      <c r="A27">
        <v>1993</v>
      </c>
      <c r="B27">
        <v>566.29999999999995</v>
      </c>
      <c r="D27">
        <v>1984</v>
      </c>
      <c r="E27">
        <v>26978</v>
      </c>
      <c r="F27">
        <v>35613</v>
      </c>
      <c r="H27">
        <v>1166658.3136</v>
      </c>
    </row>
    <row r="28" spans="1:8">
      <c r="A28">
        <v>1994</v>
      </c>
      <c r="B28">
        <v>514.79999999999995</v>
      </c>
      <c r="D28">
        <v>1985</v>
      </c>
      <c r="E28">
        <v>20041</v>
      </c>
      <c r="F28">
        <v>27942</v>
      </c>
      <c r="H28">
        <v>1020225.7631999999</v>
      </c>
    </row>
    <row r="29" spans="1:8">
      <c r="A29">
        <v>1995</v>
      </c>
      <c r="B29">
        <v>460.9</v>
      </c>
      <c r="D29">
        <v>1986</v>
      </c>
      <c r="E29">
        <v>21010</v>
      </c>
      <c r="F29">
        <v>30619</v>
      </c>
      <c r="H29">
        <v>855224.09360000002</v>
      </c>
    </row>
    <row r="30" spans="1:8">
      <c r="A30">
        <v>1996</v>
      </c>
      <c r="B30">
        <v>768.5</v>
      </c>
      <c r="D30">
        <v>1987</v>
      </c>
      <c r="E30">
        <v>20829</v>
      </c>
      <c r="F30">
        <v>28831</v>
      </c>
      <c r="H30">
        <v>720173.11920000007</v>
      </c>
    </row>
    <row r="31" spans="1:8">
      <c r="A31">
        <v>1997</v>
      </c>
      <c r="B31">
        <v>515.5</v>
      </c>
      <c r="D31">
        <v>1988</v>
      </c>
      <c r="E31">
        <v>19764</v>
      </c>
      <c r="F31">
        <v>29506</v>
      </c>
      <c r="H31">
        <v>582471.64080000005</v>
      </c>
    </row>
    <row r="32" spans="1:8">
      <c r="A32">
        <v>1998</v>
      </c>
      <c r="B32">
        <v>355.2</v>
      </c>
      <c r="D32">
        <v>1989</v>
      </c>
      <c r="E32">
        <v>20525</v>
      </c>
      <c r="F32">
        <v>28873</v>
      </c>
      <c r="H32">
        <v>472304.22159999999</v>
      </c>
    </row>
    <row r="33" spans="1:8">
      <c r="A33">
        <v>1999</v>
      </c>
      <c r="B33">
        <v>480.4</v>
      </c>
      <c r="D33">
        <v>1990</v>
      </c>
      <c r="E33">
        <v>24361</v>
      </c>
      <c r="F33">
        <v>30422</v>
      </c>
      <c r="H33">
        <v>430130.02559999999</v>
      </c>
    </row>
    <row r="34" spans="1:8">
      <c r="A34">
        <v>2000</v>
      </c>
      <c r="B34">
        <v>355.4</v>
      </c>
      <c r="D34">
        <v>1991</v>
      </c>
      <c r="E34">
        <v>22019</v>
      </c>
      <c r="F34">
        <v>27778</v>
      </c>
      <c r="H34">
        <v>411155.53519999998</v>
      </c>
    </row>
    <row r="35" spans="1:8">
      <c r="A35">
        <v>2001</v>
      </c>
      <c r="B35">
        <v>305.39999999999998</v>
      </c>
      <c r="D35">
        <v>1992</v>
      </c>
      <c r="E35">
        <v>16501</v>
      </c>
      <c r="F35">
        <v>24534</v>
      </c>
      <c r="H35">
        <v>389327.85519999999</v>
      </c>
    </row>
    <row r="36" spans="1:8">
      <c r="A36">
        <v>2002</v>
      </c>
      <c r="B36">
        <v>472.1</v>
      </c>
      <c r="D36">
        <v>1993</v>
      </c>
      <c r="E36">
        <v>14836</v>
      </c>
      <c r="F36">
        <v>28319</v>
      </c>
      <c r="H36">
        <v>370041.54080000002</v>
      </c>
    </row>
    <row r="37" spans="1:8">
      <c r="A37">
        <v>2003</v>
      </c>
      <c r="B37">
        <v>469.1</v>
      </c>
      <c r="D37">
        <v>1994</v>
      </c>
      <c r="E37">
        <v>20257</v>
      </c>
      <c r="F37">
        <v>33497</v>
      </c>
      <c r="H37">
        <v>342710.16720000003</v>
      </c>
    </row>
    <row r="38" spans="1:8">
      <c r="A38">
        <v>2004</v>
      </c>
      <c r="B38">
        <v>225</v>
      </c>
      <c r="D38">
        <v>1995</v>
      </c>
      <c r="E38">
        <v>26749</v>
      </c>
      <c r="F38">
        <v>37379</v>
      </c>
      <c r="H38">
        <v>323673.31200000003</v>
      </c>
    </row>
    <row r="39" spans="1:8">
      <c r="A39">
        <v>2005</v>
      </c>
      <c r="B39">
        <v>441.9</v>
      </c>
      <c r="D39">
        <v>1996</v>
      </c>
      <c r="E39">
        <v>35643</v>
      </c>
      <c r="F39">
        <v>46797</v>
      </c>
      <c r="H39">
        <v>301050.48080000002</v>
      </c>
    </row>
    <row r="40" spans="1:8">
      <c r="A40">
        <v>2006</v>
      </c>
      <c r="B40">
        <v>830.8</v>
      </c>
      <c r="D40">
        <v>1997</v>
      </c>
      <c r="E40">
        <v>43585</v>
      </c>
      <c r="F40">
        <v>57313</v>
      </c>
      <c r="H40">
        <v>287829.14320000005</v>
      </c>
    </row>
    <row r="41" spans="1:8">
      <c r="A41">
        <v>2007</v>
      </c>
      <c r="B41">
        <v>478.6</v>
      </c>
      <c r="D41">
        <v>1998</v>
      </c>
      <c r="E41">
        <v>50807</v>
      </c>
      <c r="F41">
        <v>67047</v>
      </c>
      <c r="H41">
        <v>267124.02960000001</v>
      </c>
    </row>
    <row r="42" spans="1:8">
      <c r="A42">
        <v>2008</v>
      </c>
      <c r="B42">
        <v>657.4</v>
      </c>
      <c r="D42">
        <v>1999</v>
      </c>
      <c r="E42">
        <v>59528</v>
      </c>
      <c r="F42">
        <v>94876</v>
      </c>
      <c r="H42">
        <v>258782.73760000002</v>
      </c>
    </row>
    <row r="43" spans="1:8">
      <c r="A43" t="s">
        <v>121</v>
      </c>
      <c r="B43">
        <v>557.9</v>
      </c>
      <c r="D43">
        <v>2000</v>
      </c>
      <c r="E43">
        <v>73600</v>
      </c>
      <c r="F43">
        <v>105017</v>
      </c>
      <c r="H43">
        <v>259546.70639999997</v>
      </c>
    </row>
    <row r="44" spans="1:8">
      <c r="D44">
        <v>2001</v>
      </c>
      <c r="E44">
        <v>87872</v>
      </c>
      <c r="F44">
        <v>122822</v>
      </c>
      <c r="H44">
        <v>276478.74959999998</v>
      </c>
    </row>
    <row r="45" spans="1:8">
      <c r="D45">
        <v>2002</v>
      </c>
      <c r="E45">
        <v>100258</v>
      </c>
      <c r="F45">
        <v>134118</v>
      </c>
      <c r="H45">
        <v>302874.65119999996</v>
      </c>
    </row>
    <row r="46" spans="1:8">
      <c r="D46">
        <v>2003</v>
      </c>
      <c r="E46">
        <v>119310</v>
      </c>
      <c r="F46">
        <v>136169</v>
      </c>
      <c r="H46">
        <v>346545.60240000003</v>
      </c>
    </row>
    <row r="47" spans="1:8">
      <c r="D47">
        <v>2004</v>
      </c>
      <c r="E47">
        <v>108126</v>
      </c>
      <c r="F47">
        <v>170384</v>
      </c>
      <c r="H47">
        <v>394847.14</v>
      </c>
    </row>
    <row r="48" spans="1:8">
      <c r="D48">
        <v>2005</v>
      </c>
      <c r="E48">
        <v>126290</v>
      </c>
      <c r="F48">
        <v>202093</v>
      </c>
      <c r="H48">
        <v>433622.45439999999</v>
      </c>
    </row>
    <row r="49" spans="4:8">
      <c r="D49">
        <v>2006</v>
      </c>
      <c r="E49">
        <v>225173</v>
      </c>
      <c r="F49">
        <v>262027</v>
      </c>
      <c r="H49">
        <v>482953.01120000001</v>
      </c>
    </row>
    <row r="50" spans="4:8">
      <c r="D50">
        <v>2007</v>
      </c>
      <c r="E50">
        <v>252065</v>
      </c>
      <c r="F50">
        <v>275473</v>
      </c>
      <c r="H50">
        <v>538099.08559999999</v>
      </c>
    </row>
    <row r="51" spans="4:8">
      <c r="D51">
        <v>2008</v>
      </c>
      <c r="E51">
        <v>238744</v>
      </c>
      <c r="F51">
        <v>260918</v>
      </c>
      <c r="H51">
        <v>594398.90879999998</v>
      </c>
    </row>
    <row r="52" spans="4:8">
      <c r="D52">
        <v>2009</v>
      </c>
      <c r="E52">
        <v>210557</v>
      </c>
      <c r="F52">
        <v>232338</v>
      </c>
      <c r="H52">
        <v>654471.80240000004</v>
      </c>
    </row>
    <row r="53" spans="4:8">
      <c r="D53">
        <v>2010</v>
      </c>
      <c r="E53">
        <v>167279</v>
      </c>
      <c r="F53">
        <v>185601</v>
      </c>
      <c r="H53">
        <v>713936.63919999998</v>
      </c>
    </row>
    <row r="54" spans="4:8">
      <c r="D54">
        <v>2011</v>
      </c>
      <c r="F54">
        <v>301991.05</v>
      </c>
      <c r="H54">
        <v>745711.50480000011</v>
      </c>
    </row>
    <row r="55" spans="4:8">
      <c r="H55">
        <v>788509.34880000004</v>
      </c>
    </row>
    <row r="56" spans="4:8">
      <c r="H56">
        <v>842049.52960000001</v>
      </c>
    </row>
    <row r="57" spans="4:8">
      <c r="H57">
        <v>878392.61679999996</v>
      </c>
    </row>
    <row r="58" spans="4:8">
      <c r="H58">
        <v>857859.00640000007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6"/>
  <sheetViews>
    <sheetView workbookViewId="0">
      <selection activeCell="AB5" sqref="AB5:AB55"/>
    </sheetView>
  </sheetViews>
  <sheetFormatPr baseColWidth="10" defaultColWidth="8.83203125" defaultRowHeight="14" x14ac:dyDescent="0"/>
  <cols>
    <col min="35" max="35" width="9.33203125" bestFit="1" customWidth="1"/>
    <col min="37" max="37" width="9.33203125" bestFit="1" customWidth="1"/>
  </cols>
  <sheetData>
    <row r="1" spans="1:85">
      <c r="B1" t="s">
        <v>35</v>
      </c>
      <c r="C1" t="s">
        <v>36</v>
      </c>
      <c r="D1" t="s">
        <v>38</v>
      </c>
      <c r="E1" t="s">
        <v>40</v>
      </c>
      <c r="F1" t="s">
        <v>41</v>
      </c>
      <c r="G1" t="s">
        <v>47</v>
      </c>
      <c r="H1" t="s">
        <v>45</v>
      </c>
      <c r="I1" t="s">
        <v>51</v>
      </c>
      <c r="J1" t="s">
        <v>188</v>
      </c>
      <c r="K1" t="s">
        <v>189</v>
      </c>
      <c r="M1" t="s">
        <v>224</v>
      </c>
      <c r="N1">
        <v>1</v>
      </c>
    </row>
    <row r="2" spans="1:85">
      <c r="B2" s="7" t="s">
        <v>186</v>
      </c>
      <c r="C2" s="7" t="s">
        <v>187</v>
      </c>
      <c r="D2" s="7" t="s">
        <v>179</v>
      </c>
      <c r="E2" s="7" t="s">
        <v>182</v>
      </c>
      <c r="F2" s="7" t="s">
        <v>184</v>
      </c>
      <c r="G2" s="7" t="s">
        <v>185</v>
      </c>
      <c r="H2" s="7" t="s">
        <v>180</v>
      </c>
      <c r="I2" s="7" t="s">
        <v>178</v>
      </c>
      <c r="J2" s="7" t="s">
        <v>183</v>
      </c>
      <c r="K2" s="7" t="s">
        <v>181</v>
      </c>
      <c r="M2" s="11" t="s">
        <v>223</v>
      </c>
      <c r="X2" t="s">
        <v>225</v>
      </c>
    </row>
    <row r="3" spans="1:85">
      <c r="A3" s="6" t="s">
        <v>177</v>
      </c>
      <c r="B3" s="4" t="s">
        <v>210</v>
      </c>
      <c r="C3" s="4" t="s">
        <v>211</v>
      </c>
      <c r="D3" s="4" t="s">
        <v>203</v>
      </c>
      <c r="E3" s="4" t="s">
        <v>206</v>
      </c>
      <c r="F3" s="4" t="s">
        <v>208</v>
      </c>
      <c r="G3" s="4" t="s">
        <v>209</v>
      </c>
      <c r="H3" s="4" t="s">
        <v>204</v>
      </c>
      <c r="I3" s="4" t="s">
        <v>202</v>
      </c>
      <c r="J3" s="4" t="s">
        <v>207</v>
      </c>
      <c r="K3" s="4" t="s">
        <v>205</v>
      </c>
      <c r="M3" t="s">
        <v>35</v>
      </c>
      <c r="N3" t="s">
        <v>36</v>
      </c>
      <c r="O3" t="s">
        <v>38</v>
      </c>
      <c r="P3" t="s">
        <v>40</v>
      </c>
      <c r="Q3" t="s">
        <v>41</v>
      </c>
      <c r="R3" t="s">
        <v>47</v>
      </c>
      <c r="S3" t="s">
        <v>45</v>
      </c>
      <c r="T3" t="s">
        <v>51</v>
      </c>
      <c r="U3" t="s">
        <v>188</v>
      </c>
      <c r="V3" t="s">
        <v>189</v>
      </c>
      <c r="X3" t="s">
        <v>35</v>
      </c>
      <c r="Y3" t="s">
        <v>36</v>
      </c>
      <c r="Z3" t="s">
        <v>38</v>
      </c>
      <c r="AA3" t="s">
        <v>40</v>
      </c>
      <c r="AB3" t="s">
        <v>41</v>
      </c>
      <c r="AC3" t="s">
        <v>47</v>
      </c>
      <c r="AD3" t="s">
        <v>45</v>
      </c>
      <c r="AE3" t="s">
        <v>51</v>
      </c>
      <c r="AF3" t="s">
        <v>188</v>
      </c>
      <c r="AG3" t="s">
        <v>189</v>
      </c>
      <c r="AI3">
        <v>363.82489199999998</v>
      </c>
      <c r="AJ3">
        <v>363.82489199999998</v>
      </c>
      <c r="AK3">
        <v>382.06079999999997</v>
      </c>
      <c r="AL3">
        <v>369.60931199999999</v>
      </c>
      <c r="AM3">
        <v>434.65034200000002</v>
      </c>
      <c r="AN3">
        <v>404.80209100000002</v>
      </c>
      <c r="AO3">
        <v>450.566416</v>
      </c>
      <c r="AP3">
        <v>472.46796399999999</v>
      </c>
      <c r="AQ3">
        <v>520.45973800000002</v>
      </c>
      <c r="AR3">
        <v>589.58914200000004</v>
      </c>
      <c r="AS3">
        <v>708.99684300000001</v>
      </c>
      <c r="AT3">
        <v>786.78938800000003</v>
      </c>
      <c r="AU3">
        <v>881.68898000000002</v>
      </c>
      <c r="AV3">
        <v>1052.626906</v>
      </c>
      <c r="AW3">
        <v>1153.9553510000001</v>
      </c>
      <c r="AX3">
        <v>1279.3765860000001</v>
      </c>
      <c r="AY3">
        <v>1446.390128</v>
      </c>
      <c r="AZ3">
        <v>1602.7156460000001</v>
      </c>
      <c r="BA3">
        <v>1706.199087</v>
      </c>
      <c r="BB3">
        <v>1799.8478769999999</v>
      </c>
      <c r="BC3">
        <v>1881.877068</v>
      </c>
      <c r="BD3">
        <v>1971.083124</v>
      </c>
      <c r="BE3">
        <v>2335.8569819999998</v>
      </c>
      <c r="BF3">
        <v>2373.1878510000001</v>
      </c>
      <c r="BG3">
        <v>2373.6759299999999</v>
      </c>
      <c r="BH3">
        <v>2501.811177</v>
      </c>
      <c r="BI3">
        <v>2536.6545809999998</v>
      </c>
      <c r="BJ3">
        <v>2700.2658719999999</v>
      </c>
      <c r="BK3">
        <v>2944.7882020000002</v>
      </c>
      <c r="BL3">
        <v>2932.593331</v>
      </c>
      <c r="BM3">
        <v>2795.1586630000002</v>
      </c>
      <c r="BN3">
        <v>2789.8493119999998</v>
      </c>
      <c r="BO3">
        <v>2868.751753</v>
      </c>
      <c r="BP3">
        <v>2733.9278389999999</v>
      </c>
      <c r="BQ3">
        <v>2861.0459689999998</v>
      </c>
      <c r="BR3">
        <v>2885.6725809999998</v>
      </c>
      <c r="BS3">
        <v>2971.1190660000002</v>
      </c>
      <c r="BT3">
        <v>2939.5121690000001</v>
      </c>
      <c r="BU3">
        <v>2873.0860250000001</v>
      </c>
      <c r="BV3">
        <v>2905.8942160000001</v>
      </c>
      <c r="BW3">
        <v>2770.5025690000002</v>
      </c>
      <c r="BX3">
        <v>3222.8972950000002</v>
      </c>
      <c r="BY3">
        <v>3693.113805</v>
      </c>
      <c r="BZ3">
        <v>4137.1734020000004</v>
      </c>
      <c r="CA3">
        <v>4343.8838770000002</v>
      </c>
      <c r="CB3">
        <v>4059.6357630000002</v>
      </c>
      <c r="CC3">
        <v>3797.9764169999999</v>
      </c>
      <c r="CD3">
        <v>3870.8887110000001</v>
      </c>
      <c r="CE3">
        <v>3822.2195379999998</v>
      </c>
      <c r="CF3">
        <v>3678.5925990000001</v>
      </c>
      <c r="CG3">
        <v>3957.6526990000002</v>
      </c>
    </row>
    <row r="4" spans="1:85">
      <c r="A4" s="8">
        <v>1964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f>B4*$N$1/'biomass Atlantis'!M4</f>
        <v>0</v>
      </c>
      <c r="N4">
        <f>C4*$N$1/'biomass Atlantis'!N4</f>
        <v>0</v>
      </c>
      <c r="O4">
        <f>D4*$N$1/'biomass Atlantis'!O4</f>
        <v>0</v>
      </c>
      <c r="P4">
        <f>E4*$N$1/'biomass Atlantis'!P4</f>
        <v>0</v>
      </c>
      <c r="Q4">
        <f>F4*$N$1/'biomass Atlantis'!Q4</f>
        <v>0</v>
      </c>
      <c r="R4">
        <f>G4*$N$1/'biomass Atlantis'!R4</f>
        <v>0</v>
      </c>
      <c r="S4">
        <f>H4*$N$1/'biomass Atlantis'!S4</f>
        <v>0</v>
      </c>
      <c r="T4">
        <f>I4*$N$1/'biomass Atlantis'!T4</f>
        <v>0</v>
      </c>
      <c r="U4">
        <f>J4*$N$1/'biomass Atlantis'!U4</f>
        <v>0</v>
      </c>
      <c r="V4">
        <f>K4*$N$1/'biomass Atlantis'!V4</f>
        <v>0</v>
      </c>
      <c r="X4">
        <f>B4*$N$1</f>
        <v>0</v>
      </c>
      <c r="Y4">
        <f t="shared" ref="Y4:AG4" si="0">C4*$N$1</f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I4">
        <v>2156.8743220000001</v>
      </c>
      <c r="AJ4">
        <v>2156.8743220000001</v>
      </c>
      <c r="AK4">
        <v>2272.0032529999999</v>
      </c>
      <c r="AL4">
        <v>2415.8336960000001</v>
      </c>
      <c r="AM4">
        <v>2629.4382500000002</v>
      </c>
      <c r="AN4">
        <v>2948.815341</v>
      </c>
      <c r="AO4">
        <v>3353.6250869999999</v>
      </c>
      <c r="AP4">
        <v>3775.140742</v>
      </c>
      <c r="AQ4">
        <v>4190.7824129999999</v>
      </c>
      <c r="AR4">
        <v>4678.7824289999999</v>
      </c>
      <c r="AS4">
        <v>5148.3284030000004</v>
      </c>
      <c r="AT4">
        <v>5571.3212960000001</v>
      </c>
      <c r="AU4">
        <v>6130.0857189999997</v>
      </c>
      <c r="AV4">
        <v>6646.9508169999999</v>
      </c>
      <c r="AW4">
        <v>7046.42605</v>
      </c>
      <c r="AX4">
        <v>7586.0497839999998</v>
      </c>
      <c r="AY4">
        <v>8037.6785730000001</v>
      </c>
      <c r="AZ4">
        <v>8124.4332770000001</v>
      </c>
      <c r="BA4">
        <v>8341.2514360000005</v>
      </c>
      <c r="BB4">
        <v>8465.6323090000005</v>
      </c>
      <c r="BC4">
        <v>8379.3062430000009</v>
      </c>
      <c r="BD4">
        <v>8412.4726429999992</v>
      </c>
      <c r="BE4">
        <v>8625.7778060000001</v>
      </c>
      <c r="BF4">
        <v>8478.5393029999996</v>
      </c>
      <c r="BG4">
        <v>8545.4085250000007</v>
      </c>
      <c r="BH4">
        <v>8437.0610730000008</v>
      </c>
      <c r="BI4">
        <v>7837.0771910000003</v>
      </c>
      <c r="BJ4">
        <v>7460.6613010000001</v>
      </c>
      <c r="BK4">
        <v>7225.8901610000003</v>
      </c>
      <c r="BL4">
        <v>7001.0642749999997</v>
      </c>
      <c r="BM4">
        <v>6764.8844719999997</v>
      </c>
      <c r="BN4">
        <v>6620.3073439999998</v>
      </c>
      <c r="BO4">
        <v>6497.6742299999996</v>
      </c>
      <c r="BP4">
        <v>6273.593057</v>
      </c>
      <c r="BQ4">
        <v>6166.3685610000002</v>
      </c>
      <c r="BR4">
        <v>5901.3352599999998</v>
      </c>
      <c r="BS4">
        <v>5642.917144</v>
      </c>
      <c r="BT4">
        <v>5349.5453040000002</v>
      </c>
      <c r="BU4">
        <v>5077.5734060000004</v>
      </c>
      <c r="BV4">
        <v>4844.899418</v>
      </c>
      <c r="BW4">
        <v>4718.1857099999997</v>
      </c>
      <c r="BX4">
        <v>4612.3149569999996</v>
      </c>
      <c r="BY4">
        <v>4489.5527910000001</v>
      </c>
      <c r="BZ4">
        <v>4382.6153670000003</v>
      </c>
      <c r="CA4">
        <v>4249.1755389999998</v>
      </c>
      <c r="CB4">
        <v>4194.1053629999997</v>
      </c>
      <c r="CC4">
        <v>4149.3931419999999</v>
      </c>
      <c r="CD4">
        <v>4109.60484</v>
      </c>
      <c r="CE4">
        <v>4049.194176</v>
      </c>
      <c r="CF4">
        <v>3994.5308519999999</v>
      </c>
      <c r="CG4">
        <v>3982.5565769999998</v>
      </c>
    </row>
    <row r="5" spans="1:85">
      <c r="A5" s="8">
        <v>1965</v>
      </c>
      <c r="B5">
        <v>363.82489199999998</v>
      </c>
      <c r="C5">
        <v>2156.8743220000001</v>
      </c>
      <c r="D5">
        <v>127813.948567</v>
      </c>
      <c r="E5">
        <v>18274.082931000001</v>
      </c>
      <c r="F5">
        <v>57204.667793000001</v>
      </c>
      <c r="G5">
        <v>16396.743218</v>
      </c>
      <c r="H5">
        <v>25738.909682000001</v>
      </c>
      <c r="I5">
        <v>96777.481123999998</v>
      </c>
      <c r="J5">
        <v>24898.517161</v>
      </c>
      <c r="K5">
        <v>979.345237</v>
      </c>
      <c r="M5">
        <f>B5*$N$1/'biomass Atlantis'!M5</f>
        <v>1.1420098776662451E-3</v>
      </c>
      <c r="N5">
        <f>C5*$N$1/'biomass Atlantis'!N5</f>
        <v>1.7527925300115778E-4</v>
      </c>
      <c r="O5">
        <f>D5*$N$1/'biomass Atlantis'!O5</f>
        <v>4.9073692309338196E-2</v>
      </c>
      <c r="P5">
        <f>E5*$N$1/'biomass Atlantis'!P5</f>
        <v>6.6122010980483852E-3</v>
      </c>
      <c r="Q5">
        <f>F5*$N$1/'biomass Atlantis'!Q5</f>
        <v>6.7733249088581587E-3</v>
      </c>
      <c r="R5">
        <f>G5*$N$1/'biomass Atlantis'!R5</f>
        <v>4.5936725281048576E-3</v>
      </c>
      <c r="S5">
        <f>H5*$N$1/'biomass Atlantis'!S5</f>
        <v>1.8097565375191922E-2</v>
      </c>
      <c r="T5">
        <f>I5*$N$1/'biomass Atlantis'!T5</f>
        <v>3.6379050225096583E-2</v>
      </c>
      <c r="U5">
        <f>J5*$N$1/'biomass Atlantis'!U5</f>
        <v>5.9799881213402802E-2</v>
      </c>
      <c r="V5">
        <f>K5*$N$1/'biomass Atlantis'!V5</f>
        <v>4.0741791662806434E-4</v>
      </c>
      <c r="X5">
        <f t="shared" ref="X5:X55" si="1">B5*$N$1</f>
        <v>363.82489199999998</v>
      </c>
      <c r="Y5">
        <f t="shared" ref="Y5:Y55" si="2">C5*$N$1</f>
        <v>2156.8743220000001</v>
      </c>
      <c r="Z5">
        <f t="shared" ref="Z5:Z55" si="3">D5*$N$1</f>
        <v>127813.948567</v>
      </c>
      <c r="AA5">
        <f t="shared" ref="AA5:AA55" si="4">E5*$N$1</f>
        <v>18274.082931000001</v>
      </c>
      <c r="AB5">
        <f t="shared" ref="AB5:AB55" si="5">F5*$N$1</f>
        <v>57204.667793000001</v>
      </c>
      <c r="AC5">
        <f t="shared" ref="AC5:AC55" si="6">G5*$N$1</f>
        <v>16396.743218</v>
      </c>
      <c r="AD5">
        <f t="shared" ref="AD5:AD55" si="7">H5*$N$1</f>
        <v>25738.909682000001</v>
      </c>
      <c r="AE5">
        <f t="shared" ref="AE5:AE55" si="8">I5*$N$1</f>
        <v>96777.481123999998</v>
      </c>
      <c r="AF5">
        <f t="shared" ref="AF5:AF55" si="9">J5*$N$1</f>
        <v>24898.517161</v>
      </c>
      <c r="AG5">
        <f t="shared" ref="AG5:AG55" si="10">K5*$N$1</f>
        <v>979.345237</v>
      </c>
      <c r="AI5">
        <v>127813.948567</v>
      </c>
      <c r="AJ5">
        <v>127813.948567</v>
      </c>
      <c r="AK5">
        <v>125055.953165</v>
      </c>
      <c r="AL5">
        <v>122711.00447499999</v>
      </c>
      <c r="AM5">
        <v>121424.106222</v>
      </c>
      <c r="AN5">
        <v>119429.82057500001</v>
      </c>
      <c r="AO5">
        <v>118440.153284</v>
      </c>
      <c r="AP5">
        <v>117389.13256100001</v>
      </c>
      <c r="AQ5">
        <v>117154.87104100001</v>
      </c>
      <c r="AR5">
        <v>116547.378274</v>
      </c>
      <c r="AS5">
        <v>116246.002873</v>
      </c>
      <c r="AT5">
        <v>116077.440095</v>
      </c>
      <c r="AU5">
        <v>115916.97278900001</v>
      </c>
      <c r="AV5">
        <v>115677.694661</v>
      </c>
      <c r="AW5">
        <v>2587.6688349999999</v>
      </c>
      <c r="AX5">
        <v>4321.4725479999997</v>
      </c>
      <c r="AY5">
        <v>6650.0763699999998</v>
      </c>
      <c r="AZ5">
        <v>8049.6815260000003</v>
      </c>
      <c r="BA5">
        <v>8463.8784520000008</v>
      </c>
      <c r="BB5">
        <v>8581.1140969999997</v>
      </c>
      <c r="BC5">
        <v>10627.914202</v>
      </c>
      <c r="BD5">
        <v>12251.238254</v>
      </c>
      <c r="BE5">
        <v>14365.99973</v>
      </c>
      <c r="BF5">
        <v>16860.187545000001</v>
      </c>
      <c r="BG5">
        <v>18093.351013</v>
      </c>
      <c r="BH5">
        <v>19331.245338000001</v>
      </c>
      <c r="BI5">
        <v>18014.584756</v>
      </c>
      <c r="BJ5">
        <v>17904.841832999999</v>
      </c>
      <c r="BK5">
        <v>19099.884396000001</v>
      </c>
      <c r="BL5">
        <v>17161.454621000001</v>
      </c>
      <c r="BM5">
        <v>18268.061857000001</v>
      </c>
      <c r="BN5">
        <v>25190.581236999999</v>
      </c>
      <c r="BO5">
        <v>30951.102112</v>
      </c>
      <c r="BP5">
        <v>34516.366400999999</v>
      </c>
      <c r="BQ5">
        <v>46409.930415000003</v>
      </c>
      <c r="BR5">
        <v>47500.126052</v>
      </c>
      <c r="BS5">
        <v>53171.488259999998</v>
      </c>
      <c r="BT5">
        <v>51524.889323000003</v>
      </c>
      <c r="BU5">
        <v>65926.931674000007</v>
      </c>
      <c r="BV5">
        <v>68600.921262999997</v>
      </c>
      <c r="BW5">
        <v>71773.226406000002</v>
      </c>
      <c r="BX5">
        <v>105211.671667</v>
      </c>
      <c r="BY5">
        <v>116699.25566</v>
      </c>
      <c r="BZ5">
        <v>116302.531522</v>
      </c>
      <c r="CA5">
        <v>102456.47575899999</v>
      </c>
      <c r="CB5">
        <v>104221.456893</v>
      </c>
      <c r="CC5">
        <v>90076.083413</v>
      </c>
      <c r="CD5">
        <v>78181.993006000004</v>
      </c>
      <c r="CE5">
        <v>86471.902742000006</v>
      </c>
      <c r="CF5">
        <v>76484.708933000002</v>
      </c>
      <c r="CG5">
        <v>72211.031719999999</v>
      </c>
    </row>
    <row r="6" spans="1:85">
      <c r="A6" s="8">
        <v>1966</v>
      </c>
      <c r="B6">
        <v>382.06079999999997</v>
      </c>
      <c r="C6">
        <v>2272.0032529999999</v>
      </c>
      <c r="D6">
        <v>125055.953165</v>
      </c>
      <c r="E6">
        <v>16233.316607999999</v>
      </c>
      <c r="F6">
        <v>26538.516350999998</v>
      </c>
      <c r="G6">
        <v>11549.896654</v>
      </c>
      <c r="H6">
        <v>16639.984532999999</v>
      </c>
      <c r="I6">
        <v>91408.318008000002</v>
      </c>
      <c r="J6">
        <v>22577.886497</v>
      </c>
      <c r="K6">
        <v>1049.8165019999999</v>
      </c>
      <c r="M6">
        <f>B6*$N$1/'biomass Atlantis'!M6</f>
        <v>1.2186740729811997E-3</v>
      </c>
      <c r="N6">
        <f>C6*$N$1/'biomass Atlantis'!N6</f>
        <v>1.564360571496783E-4</v>
      </c>
      <c r="O6">
        <f>D6*$N$1/'biomass Atlantis'!O6</f>
        <v>5.8389853082770823E-2</v>
      </c>
      <c r="P6">
        <f>E6*$N$1/'biomass Atlantis'!P6</f>
        <v>5.7345939503051337E-3</v>
      </c>
      <c r="Q6">
        <f>F6*$N$1/'biomass Atlantis'!Q6</f>
        <v>3.8553030321943835E-3</v>
      </c>
      <c r="R6">
        <f>G6*$N$1/'biomass Atlantis'!R6</f>
        <v>3.1252452604500834E-3</v>
      </c>
      <c r="S6">
        <f>H6*$N$1/'biomass Atlantis'!S6</f>
        <v>1.3006866050924059E-2</v>
      </c>
      <c r="T6">
        <f>I6*$N$1/'biomass Atlantis'!T6</f>
        <v>4.3878570929431454E-2</v>
      </c>
      <c r="U6">
        <f>J6*$N$1/'biomass Atlantis'!U6</f>
        <v>4.5305523986644655E-2</v>
      </c>
      <c r="V6">
        <f>K6*$N$1/'biomass Atlantis'!V6</f>
        <v>3.9148045397203394E-4</v>
      </c>
      <c r="X6">
        <f t="shared" si="1"/>
        <v>382.06079999999997</v>
      </c>
      <c r="Y6">
        <f t="shared" si="2"/>
        <v>2272.0032529999999</v>
      </c>
      <c r="Z6">
        <f t="shared" si="3"/>
        <v>125055.953165</v>
      </c>
      <c r="AA6">
        <f t="shared" si="4"/>
        <v>16233.316607999999</v>
      </c>
      <c r="AB6">
        <f t="shared" si="5"/>
        <v>26538.516350999998</v>
      </c>
      <c r="AC6">
        <f t="shared" si="6"/>
        <v>11549.896654</v>
      </c>
      <c r="AD6">
        <f t="shared" si="7"/>
        <v>16639.984532999999</v>
      </c>
      <c r="AE6">
        <f t="shared" si="8"/>
        <v>91408.318008000002</v>
      </c>
      <c r="AF6">
        <f t="shared" si="9"/>
        <v>22577.886497</v>
      </c>
      <c r="AG6">
        <f t="shared" si="10"/>
        <v>1049.8165019999999</v>
      </c>
      <c r="AI6">
        <v>18274.082931000001</v>
      </c>
      <c r="AJ6">
        <v>18274.082931000001</v>
      </c>
      <c r="AK6">
        <v>16233.316607999999</v>
      </c>
      <c r="AL6">
        <v>16035.866803000001</v>
      </c>
      <c r="AM6">
        <v>17678.854586000001</v>
      </c>
      <c r="AN6">
        <v>20754.883984</v>
      </c>
      <c r="AO6">
        <v>22900.170440999998</v>
      </c>
      <c r="AP6">
        <v>23588.330795000002</v>
      </c>
      <c r="AQ6">
        <v>24132.221646999998</v>
      </c>
      <c r="AR6">
        <v>24478.019195000001</v>
      </c>
      <c r="AS6">
        <v>24556.040896999999</v>
      </c>
      <c r="AT6">
        <v>24517.343147</v>
      </c>
      <c r="AU6">
        <v>24719.28412</v>
      </c>
      <c r="AV6">
        <v>24656.069427999999</v>
      </c>
      <c r="AW6">
        <v>25068.986776999998</v>
      </c>
      <c r="AX6">
        <v>25190.937774000002</v>
      </c>
      <c r="AY6">
        <v>24582.747651999998</v>
      </c>
      <c r="AZ6">
        <v>23437.804093999999</v>
      </c>
      <c r="BA6">
        <v>22278.484569</v>
      </c>
      <c r="BB6">
        <v>20894.028245000001</v>
      </c>
      <c r="BC6">
        <v>19797.547750000002</v>
      </c>
      <c r="BD6">
        <v>18973.660459999999</v>
      </c>
      <c r="BE6">
        <v>18312.368382000001</v>
      </c>
      <c r="BF6">
        <v>17872.821550000001</v>
      </c>
      <c r="BG6">
        <v>17369.145651999999</v>
      </c>
      <c r="BH6">
        <v>16454.368128999999</v>
      </c>
      <c r="BI6">
        <v>14738.536195999999</v>
      </c>
      <c r="BJ6">
        <v>13876.081139</v>
      </c>
      <c r="BK6">
        <v>13529.970208000001</v>
      </c>
      <c r="BL6">
        <v>12987.846363000001</v>
      </c>
      <c r="BM6">
        <v>12940.880415</v>
      </c>
      <c r="BN6">
        <v>12840.583185</v>
      </c>
      <c r="BO6">
        <v>12691.859012000001</v>
      </c>
      <c r="BP6">
        <v>12615.64759</v>
      </c>
      <c r="BQ6">
        <v>12406.548091000001</v>
      </c>
      <c r="BR6">
        <v>12088.812813</v>
      </c>
      <c r="BS6">
        <v>11817.744916</v>
      </c>
      <c r="BT6">
        <v>11649.587937</v>
      </c>
      <c r="BU6">
        <v>11655.362558999999</v>
      </c>
      <c r="BV6">
        <v>11782.842565000001</v>
      </c>
      <c r="BW6">
        <v>12212.087820999999</v>
      </c>
      <c r="BX6">
        <v>12723.628692</v>
      </c>
      <c r="BY6">
        <v>12778.693805999999</v>
      </c>
      <c r="BZ6">
        <v>12958.047313999999</v>
      </c>
      <c r="CA6">
        <v>13115.519432999999</v>
      </c>
      <c r="CB6">
        <v>13560.16453</v>
      </c>
      <c r="CC6">
        <v>14138.974921000001</v>
      </c>
      <c r="CD6">
        <v>14556.304953000001</v>
      </c>
      <c r="CE6">
        <v>14636.329318</v>
      </c>
      <c r="CF6">
        <v>14710.997042000001</v>
      </c>
      <c r="CG6">
        <v>14864.083708</v>
      </c>
    </row>
    <row r="7" spans="1:85">
      <c r="A7" s="8">
        <v>1967</v>
      </c>
      <c r="B7">
        <v>369.60931199999999</v>
      </c>
      <c r="C7">
        <v>2415.8336960000001</v>
      </c>
      <c r="D7">
        <v>122711.00447499999</v>
      </c>
      <c r="E7">
        <v>16035.866803000001</v>
      </c>
      <c r="F7">
        <v>17264.209085999999</v>
      </c>
      <c r="G7">
        <v>10693.826241000001</v>
      </c>
      <c r="H7">
        <v>12581.188305</v>
      </c>
      <c r="I7">
        <v>102420.98183800001</v>
      </c>
      <c r="J7">
        <v>22630.461234999999</v>
      </c>
      <c r="K7">
        <v>1111.4308109999999</v>
      </c>
      <c r="M7">
        <f>B7*$N$1/'biomass Atlantis'!M7</f>
        <v>1.1877393539140816E-3</v>
      </c>
      <c r="N7">
        <f>C7*$N$1/'biomass Atlantis'!N7</f>
        <v>1.4779148814529888E-4</v>
      </c>
      <c r="O7">
        <f>D7*$N$1/'biomass Atlantis'!O7</f>
        <v>7.2331422193596562E-2</v>
      </c>
      <c r="P7">
        <f>E7*$N$1/'biomass Atlantis'!P7</f>
        <v>5.1429590528932921E-3</v>
      </c>
      <c r="Q7">
        <f>F7*$N$1/'biomass Atlantis'!Q7</f>
        <v>2.9168151533543645E-3</v>
      </c>
      <c r="R7">
        <f>G7*$N$1/'biomass Atlantis'!R7</f>
        <v>3.0435325149820031E-3</v>
      </c>
      <c r="S7">
        <f>H7*$N$1/'biomass Atlantis'!S7</f>
        <v>1.0690376249505548E-2</v>
      </c>
      <c r="T7">
        <f>I7*$N$1/'biomass Atlantis'!T7</f>
        <v>3.9649938161427735E-2</v>
      </c>
      <c r="U7">
        <f>J7*$N$1/'biomass Atlantis'!U7</f>
        <v>4.2961563496088498E-2</v>
      </c>
      <c r="V7">
        <f>K7*$N$1/'biomass Atlantis'!V7</f>
        <v>3.8939589648146123E-4</v>
      </c>
      <c r="X7">
        <f t="shared" si="1"/>
        <v>369.60931199999999</v>
      </c>
      <c r="Y7">
        <f t="shared" si="2"/>
        <v>2415.8336960000001</v>
      </c>
      <c r="Z7">
        <f t="shared" si="3"/>
        <v>122711.00447499999</v>
      </c>
      <c r="AA7">
        <f t="shared" si="4"/>
        <v>16035.866803000001</v>
      </c>
      <c r="AB7">
        <f t="shared" si="5"/>
        <v>17264.209085999999</v>
      </c>
      <c r="AC7">
        <f t="shared" si="6"/>
        <v>10693.826241000001</v>
      </c>
      <c r="AD7">
        <f t="shared" si="7"/>
        <v>12581.188305</v>
      </c>
      <c r="AE7">
        <f t="shared" si="8"/>
        <v>102420.98183800001</v>
      </c>
      <c r="AF7">
        <f t="shared" si="9"/>
        <v>22630.461234999999</v>
      </c>
      <c r="AG7">
        <f t="shared" si="10"/>
        <v>1111.4308109999999</v>
      </c>
      <c r="AI7">
        <v>57204.667793000001</v>
      </c>
      <c r="AJ7">
        <v>57204.667793000001</v>
      </c>
      <c r="AK7">
        <v>26538.516350999998</v>
      </c>
      <c r="AL7">
        <v>17264.209085999999</v>
      </c>
      <c r="AM7">
        <v>12950.621214999999</v>
      </c>
      <c r="AN7">
        <v>10401.106076</v>
      </c>
      <c r="AO7">
        <v>8909.7641509999994</v>
      </c>
      <c r="AP7">
        <v>7915.8453799999997</v>
      </c>
      <c r="AQ7">
        <v>7174.4923760000001</v>
      </c>
      <c r="AR7">
        <v>6635.5679760000003</v>
      </c>
      <c r="AS7">
        <v>6269.4077989999996</v>
      </c>
      <c r="AT7">
        <v>5952.4677389999997</v>
      </c>
      <c r="AU7">
        <v>5965.4156839999996</v>
      </c>
      <c r="AV7">
        <v>5759.2543180000002</v>
      </c>
      <c r="AW7">
        <v>5639.0006940000003</v>
      </c>
      <c r="AX7">
        <v>5567.9783319999997</v>
      </c>
      <c r="AY7">
        <v>5208.6910470000003</v>
      </c>
      <c r="AZ7">
        <v>4948.7461640000001</v>
      </c>
      <c r="BA7">
        <v>4759.3331710000002</v>
      </c>
      <c r="BB7">
        <v>4530.1182490000001</v>
      </c>
      <c r="BC7">
        <v>4321.5343780000003</v>
      </c>
      <c r="BD7">
        <v>3741.3557340000002</v>
      </c>
      <c r="BE7">
        <v>3465.5037470000002</v>
      </c>
      <c r="BF7">
        <v>2933.474909</v>
      </c>
      <c r="BG7">
        <v>2562.8734890000001</v>
      </c>
      <c r="BH7">
        <v>2180.3635829999998</v>
      </c>
      <c r="BI7">
        <v>1637.657655</v>
      </c>
      <c r="BJ7">
        <v>1427.834374</v>
      </c>
      <c r="BK7">
        <v>1350.7910039999999</v>
      </c>
      <c r="BL7">
        <v>1333.4906570000001</v>
      </c>
      <c r="BM7">
        <v>1298.077726</v>
      </c>
      <c r="BN7">
        <v>1186.271604</v>
      </c>
      <c r="BO7">
        <v>1121.1759360000001</v>
      </c>
      <c r="BP7">
        <v>1035.7113489999999</v>
      </c>
      <c r="BQ7">
        <v>1058.6518470000001</v>
      </c>
      <c r="BR7">
        <v>956.63707999999997</v>
      </c>
      <c r="BS7">
        <v>946.46885999999995</v>
      </c>
      <c r="BT7">
        <v>878.17916500000001</v>
      </c>
      <c r="BU7">
        <v>950.96548800000005</v>
      </c>
      <c r="BV7">
        <v>995.42760499999997</v>
      </c>
      <c r="BW7">
        <v>1129.7362740000001</v>
      </c>
      <c r="BX7">
        <v>1322.89059</v>
      </c>
      <c r="BY7">
        <v>1426.6893130000001</v>
      </c>
      <c r="BZ7">
        <v>1554.1019920000001</v>
      </c>
      <c r="CA7">
        <v>1710.018202</v>
      </c>
      <c r="CB7">
        <v>1844.2800070000001</v>
      </c>
      <c r="CC7">
        <v>1963.6064510000001</v>
      </c>
      <c r="CD7">
        <v>2257.0469189999999</v>
      </c>
      <c r="CE7">
        <v>2349.413724</v>
      </c>
      <c r="CF7">
        <v>2324.4415119999999</v>
      </c>
      <c r="CG7">
        <v>2534.084883</v>
      </c>
    </row>
    <row r="8" spans="1:85">
      <c r="A8" s="8">
        <v>1968</v>
      </c>
      <c r="B8">
        <v>434.65034200000002</v>
      </c>
      <c r="C8">
        <v>2629.4382500000002</v>
      </c>
      <c r="D8">
        <v>121424.106222</v>
      </c>
      <c r="E8">
        <v>17678.854586000001</v>
      </c>
      <c r="F8">
        <v>12950.621214999999</v>
      </c>
      <c r="G8">
        <v>9798.8403230000004</v>
      </c>
      <c r="H8">
        <v>10765.804217999999</v>
      </c>
      <c r="I8">
        <v>116100.162793</v>
      </c>
      <c r="J8">
        <v>23104.118673000001</v>
      </c>
      <c r="K8">
        <v>1173.2794590000001</v>
      </c>
      <c r="M8">
        <f>B8*$N$1/'biomass Atlantis'!M8</f>
        <v>1.3876073525936575E-3</v>
      </c>
      <c r="N8">
        <f>C8*$N$1/'biomass Atlantis'!N8</f>
        <v>1.499272966314576E-4</v>
      </c>
      <c r="O8">
        <f>D8*$N$1/'biomass Atlantis'!O8</f>
        <v>9.2254654349277987E-2</v>
      </c>
      <c r="P8">
        <f>E8*$N$1/'biomass Atlantis'!P8</f>
        <v>4.9172579561558042E-3</v>
      </c>
      <c r="Q8">
        <f>F8*$N$1/'biomass Atlantis'!Q8</f>
        <v>2.4798749394188717E-3</v>
      </c>
      <c r="R8">
        <f>G8*$N$1/'biomass Atlantis'!R8</f>
        <v>3.0695494395131221E-3</v>
      </c>
      <c r="S8">
        <f>H8*$N$1/'biomass Atlantis'!S8</f>
        <v>9.9455605468388164E-3</v>
      </c>
      <c r="T8">
        <f>I8*$N$1/'biomass Atlantis'!T8</f>
        <v>4.1095592639853573E-2</v>
      </c>
      <c r="U8">
        <f>J8*$N$1/'biomass Atlantis'!U8</f>
        <v>4.4401636907170507E-2</v>
      </c>
      <c r="V8">
        <f>K8*$N$1/'biomass Atlantis'!V8</f>
        <v>4.0455115077456222E-4</v>
      </c>
      <c r="X8">
        <f t="shared" si="1"/>
        <v>434.65034200000002</v>
      </c>
      <c r="Y8">
        <f t="shared" si="2"/>
        <v>2629.4382500000002</v>
      </c>
      <c r="Z8">
        <f t="shared" si="3"/>
        <v>121424.106222</v>
      </c>
      <c r="AA8">
        <f t="shared" si="4"/>
        <v>17678.854586000001</v>
      </c>
      <c r="AB8">
        <f t="shared" si="5"/>
        <v>12950.621214999999</v>
      </c>
      <c r="AC8">
        <f t="shared" si="6"/>
        <v>9798.8403230000004</v>
      </c>
      <c r="AD8">
        <f t="shared" si="7"/>
        <v>10765.804217999999</v>
      </c>
      <c r="AE8">
        <f t="shared" si="8"/>
        <v>116100.162793</v>
      </c>
      <c r="AF8">
        <f t="shared" si="9"/>
        <v>23104.118673000001</v>
      </c>
      <c r="AG8">
        <f t="shared" si="10"/>
        <v>1173.2794590000001</v>
      </c>
      <c r="AI8">
        <v>16396.743218</v>
      </c>
      <c r="AJ8">
        <v>16396.743218</v>
      </c>
      <c r="AK8">
        <v>11549.896654</v>
      </c>
      <c r="AL8">
        <v>10693.826241000001</v>
      </c>
      <c r="AM8">
        <v>9798.8403230000004</v>
      </c>
      <c r="AN8">
        <v>9382.9851020000006</v>
      </c>
      <c r="AO8">
        <v>9423.3353910000005</v>
      </c>
      <c r="AP8">
        <v>9524.4985519999991</v>
      </c>
      <c r="AQ8">
        <v>9612.4731950000005</v>
      </c>
      <c r="AR8">
        <v>9963.2055409999994</v>
      </c>
      <c r="AS8">
        <v>10178.345851</v>
      </c>
      <c r="AT8">
        <v>10266.319659000001</v>
      </c>
      <c r="AU8">
        <v>10030.998591</v>
      </c>
      <c r="AV8">
        <v>10073.221027</v>
      </c>
      <c r="AW8">
        <v>10131.939482</v>
      </c>
      <c r="AX8">
        <v>10287.110124000001</v>
      </c>
      <c r="AY8">
        <v>10230.988022</v>
      </c>
      <c r="AZ8">
        <v>9559.6184470000007</v>
      </c>
      <c r="BA8">
        <v>9188.2845589999997</v>
      </c>
      <c r="BB8">
        <v>8983.1307479999996</v>
      </c>
      <c r="BC8">
        <v>8426.924454</v>
      </c>
      <c r="BD8">
        <v>8063.3269419999997</v>
      </c>
      <c r="BE8">
        <v>7193.9638660000001</v>
      </c>
      <c r="BF8">
        <v>6760.694313</v>
      </c>
      <c r="BG8">
        <v>5993.3004170000004</v>
      </c>
      <c r="BH8">
        <v>5480.4958649999999</v>
      </c>
      <c r="BI8">
        <v>4378.2270239999998</v>
      </c>
      <c r="BJ8">
        <v>4439.0542489999998</v>
      </c>
      <c r="BK8">
        <v>4926.9336780000003</v>
      </c>
      <c r="BL8">
        <v>4870.8299219999999</v>
      </c>
      <c r="BM8">
        <v>4245.6187879999998</v>
      </c>
      <c r="BN8">
        <v>4382.6195340000004</v>
      </c>
      <c r="BO8">
        <v>4902.819829</v>
      </c>
      <c r="BP8">
        <v>4329.4929830000001</v>
      </c>
      <c r="BQ8">
        <v>4234.0265579999996</v>
      </c>
      <c r="BR8">
        <v>4312.2256440000001</v>
      </c>
      <c r="BS8">
        <v>4041.22957</v>
      </c>
      <c r="BT8">
        <v>4192.0873080000001</v>
      </c>
      <c r="BU8">
        <v>4328.2796820000003</v>
      </c>
      <c r="BV8">
        <v>4601.6661009999998</v>
      </c>
      <c r="BW8">
        <v>5220.9167200000002</v>
      </c>
      <c r="BX8">
        <v>5492.5781850000003</v>
      </c>
      <c r="BY8">
        <v>5509.4794430000002</v>
      </c>
      <c r="BZ8">
        <v>5538.4265889999997</v>
      </c>
      <c r="CA8">
        <v>5680.8298809999997</v>
      </c>
      <c r="CB8">
        <v>5758.0399719999996</v>
      </c>
      <c r="CC8">
        <v>5862.0549220000003</v>
      </c>
      <c r="CD8">
        <v>6202.514201</v>
      </c>
      <c r="CE8">
        <v>6215.9796779999997</v>
      </c>
      <c r="CF8">
        <v>6257.5462859999998</v>
      </c>
      <c r="CG8">
        <v>6512.2251749999996</v>
      </c>
    </row>
    <row r="9" spans="1:85">
      <c r="A9" s="8">
        <v>1969</v>
      </c>
      <c r="B9">
        <v>404.80209100000002</v>
      </c>
      <c r="C9">
        <v>2948.815341</v>
      </c>
      <c r="D9">
        <v>119429.82057500001</v>
      </c>
      <c r="E9">
        <v>20754.883984</v>
      </c>
      <c r="F9">
        <v>10401.106076</v>
      </c>
      <c r="G9">
        <v>9382.9851020000006</v>
      </c>
      <c r="H9">
        <v>9647.6298100000004</v>
      </c>
      <c r="I9">
        <v>116024.684393</v>
      </c>
      <c r="J9">
        <v>23480.008247000002</v>
      </c>
      <c r="K9">
        <v>1230.6816819999999</v>
      </c>
      <c r="M9">
        <f>B9*$N$1/'biomass Atlantis'!M9</f>
        <v>1.2580197938614362E-3</v>
      </c>
      <c r="N9">
        <f>C9*$N$1/'biomass Atlantis'!N9</f>
        <v>1.5743409610347942E-4</v>
      </c>
      <c r="O9">
        <f>D9*$N$1/'biomass Atlantis'!O9</f>
        <v>0.11707105580576431</v>
      </c>
      <c r="P9">
        <f>E9*$N$1/'biomass Atlantis'!P9</f>
        <v>5.4776773558353068E-3</v>
      </c>
      <c r="Q9">
        <f>F9*$N$1/'biomass Atlantis'!Q9</f>
        <v>2.2500687709707968E-3</v>
      </c>
      <c r="R9">
        <f>G9*$N$1/'biomass Atlantis'!R9</f>
        <v>3.0838685920997512E-3</v>
      </c>
      <c r="S9">
        <f>H9*$N$1/'biomass Atlantis'!S9</f>
        <v>9.3597346783280549E-3</v>
      </c>
      <c r="T9">
        <f>I9*$N$1/'biomass Atlantis'!T9</f>
        <v>5.6105992343824122E-2</v>
      </c>
      <c r="U9">
        <f>J9*$N$1/'biomass Atlantis'!U9</f>
        <v>4.6399209455425604E-2</v>
      </c>
      <c r="V9">
        <f>K9*$N$1/'biomass Atlantis'!V9</f>
        <v>4.2591669224468235E-4</v>
      </c>
      <c r="X9">
        <f t="shared" si="1"/>
        <v>404.80209100000002</v>
      </c>
      <c r="Y9">
        <f t="shared" si="2"/>
        <v>2948.815341</v>
      </c>
      <c r="Z9">
        <f t="shared" si="3"/>
        <v>119429.82057500001</v>
      </c>
      <c r="AA9">
        <f t="shared" si="4"/>
        <v>20754.883984</v>
      </c>
      <c r="AB9">
        <f t="shared" si="5"/>
        <v>10401.106076</v>
      </c>
      <c r="AC9">
        <f t="shared" si="6"/>
        <v>9382.9851020000006</v>
      </c>
      <c r="AD9">
        <f t="shared" si="7"/>
        <v>9647.6298100000004</v>
      </c>
      <c r="AE9">
        <f t="shared" si="8"/>
        <v>116024.684393</v>
      </c>
      <c r="AF9">
        <f t="shared" si="9"/>
        <v>23480.008247000002</v>
      </c>
      <c r="AG9">
        <f t="shared" si="10"/>
        <v>1230.6816819999999</v>
      </c>
      <c r="AI9">
        <v>25738.909682000001</v>
      </c>
      <c r="AJ9">
        <v>25738.909682000001</v>
      </c>
      <c r="AK9">
        <v>16639.984532999999</v>
      </c>
      <c r="AL9">
        <v>12581.188305</v>
      </c>
      <c r="AM9">
        <v>10765.804217999999</v>
      </c>
      <c r="AN9">
        <v>9647.6298100000004</v>
      </c>
      <c r="AO9">
        <v>9227.089097</v>
      </c>
      <c r="AP9">
        <v>8620.7591109999994</v>
      </c>
      <c r="AQ9">
        <v>8341.7788579999997</v>
      </c>
      <c r="AR9">
        <v>8004.5261909999999</v>
      </c>
      <c r="AS9">
        <v>7693.1215949999996</v>
      </c>
      <c r="AT9">
        <v>7379.7652680000001</v>
      </c>
      <c r="AU9">
        <v>7158.2410959999997</v>
      </c>
      <c r="AV9">
        <v>6883.083952</v>
      </c>
      <c r="AW9">
        <v>6606.6611320000002</v>
      </c>
      <c r="AX9">
        <v>6185.0026870000002</v>
      </c>
      <c r="AY9">
        <v>5822.9551199999996</v>
      </c>
      <c r="AZ9">
        <v>5876.4909779999998</v>
      </c>
      <c r="BA9">
        <v>5498.5131140000003</v>
      </c>
      <c r="BB9">
        <v>5292.321175</v>
      </c>
      <c r="BC9">
        <v>5318.595937</v>
      </c>
      <c r="BD9">
        <v>5492.2790150000001</v>
      </c>
      <c r="BE9">
        <v>5301.6265860000003</v>
      </c>
      <c r="BF9">
        <v>5188.2552619999997</v>
      </c>
      <c r="BG9">
        <v>5240.1657349999996</v>
      </c>
      <c r="BH9">
        <v>5263.2779840000003</v>
      </c>
      <c r="BI9">
        <v>4920.4470419999998</v>
      </c>
      <c r="BJ9">
        <v>4967.6991330000001</v>
      </c>
      <c r="BK9">
        <v>5380.3823069999999</v>
      </c>
      <c r="BL9">
        <v>5072.7007119999998</v>
      </c>
      <c r="BM9">
        <v>5135.337982</v>
      </c>
      <c r="BN9">
        <v>5079.9638649999997</v>
      </c>
      <c r="BO9">
        <v>5141.242628</v>
      </c>
      <c r="BP9">
        <v>4821.7655130000003</v>
      </c>
      <c r="BQ9">
        <v>5218.4902940000002</v>
      </c>
      <c r="BR9">
        <v>5004.9745579999999</v>
      </c>
      <c r="BS9">
        <v>5118.976866</v>
      </c>
      <c r="BT9">
        <v>4991.8992609999996</v>
      </c>
      <c r="BU9">
        <v>4935.5954490000004</v>
      </c>
      <c r="BV9">
        <v>4938.4706779999997</v>
      </c>
      <c r="BW9">
        <v>5056.5402050000002</v>
      </c>
      <c r="BX9">
        <v>4783.4277350000002</v>
      </c>
      <c r="BY9">
        <v>5073.8889719999997</v>
      </c>
      <c r="BZ9">
        <v>4970.5538130000004</v>
      </c>
      <c r="CA9">
        <v>4941.2764569999999</v>
      </c>
      <c r="CB9">
        <v>5038.8520330000001</v>
      </c>
      <c r="CC9">
        <v>4916.2596400000002</v>
      </c>
      <c r="CD9">
        <v>5000.6516620000002</v>
      </c>
      <c r="CE9">
        <v>4977.0424949999997</v>
      </c>
      <c r="CF9">
        <v>4970.1683199999998</v>
      </c>
      <c r="CG9">
        <v>4916.2449210000004</v>
      </c>
    </row>
    <row r="10" spans="1:85">
      <c r="A10" s="8">
        <v>1970</v>
      </c>
      <c r="B10">
        <v>450.566416</v>
      </c>
      <c r="C10">
        <v>3353.6250869999999</v>
      </c>
      <c r="D10">
        <v>118440.153284</v>
      </c>
      <c r="E10">
        <v>22900.170440999998</v>
      </c>
      <c r="F10">
        <v>8909.7641509999994</v>
      </c>
      <c r="G10">
        <v>9423.3353910000005</v>
      </c>
      <c r="H10">
        <v>9227.089097</v>
      </c>
      <c r="I10">
        <v>115336.313369</v>
      </c>
      <c r="J10">
        <v>24047.650452999998</v>
      </c>
      <c r="K10">
        <v>1300.0427139999999</v>
      </c>
      <c r="M10">
        <f>B10*$N$1/'biomass Atlantis'!M10</f>
        <v>1.3419130881695625E-3</v>
      </c>
      <c r="N10">
        <f>C10*$N$1/'biomass Atlantis'!N10</f>
        <v>1.6826498807982472E-4</v>
      </c>
      <c r="O10">
        <f>D10*$N$1/'biomass Atlantis'!O10</f>
        <v>0.14865529860599683</v>
      </c>
      <c r="P10">
        <f>E10*$N$1/'biomass Atlantis'!P10</f>
        <v>6.2326015137322884E-3</v>
      </c>
      <c r="Q10">
        <f>F10*$N$1/'biomass Atlantis'!Q10</f>
        <v>2.1329143987852011E-3</v>
      </c>
      <c r="R10">
        <f>G10*$N$1/'biomass Atlantis'!R10</f>
        <v>3.249279178015214E-3</v>
      </c>
      <c r="S10">
        <f>H10*$N$1/'biomass Atlantis'!S10</f>
        <v>9.7683351114916626E-3</v>
      </c>
      <c r="T10">
        <f>I10*$N$1/'biomass Atlantis'!T10</f>
        <v>7.5796511567435346E-2</v>
      </c>
      <c r="U10">
        <f>J10*$N$1/'biomass Atlantis'!U10</f>
        <v>4.8966239159728399E-2</v>
      </c>
      <c r="V10">
        <f>K10*$N$1/'biomass Atlantis'!V10</f>
        <v>4.5912200106921293E-4</v>
      </c>
      <c r="X10">
        <f t="shared" si="1"/>
        <v>450.566416</v>
      </c>
      <c r="Y10">
        <f t="shared" si="2"/>
        <v>3353.6250869999999</v>
      </c>
      <c r="Z10">
        <f t="shared" si="3"/>
        <v>118440.153284</v>
      </c>
      <c r="AA10">
        <f t="shared" si="4"/>
        <v>22900.170440999998</v>
      </c>
      <c r="AB10">
        <f t="shared" si="5"/>
        <v>8909.7641509999994</v>
      </c>
      <c r="AC10">
        <f t="shared" si="6"/>
        <v>9423.3353910000005</v>
      </c>
      <c r="AD10">
        <f t="shared" si="7"/>
        <v>9227.089097</v>
      </c>
      <c r="AE10">
        <f t="shared" si="8"/>
        <v>115336.313369</v>
      </c>
      <c r="AF10">
        <f t="shared" si="9"/>
        <v>24047.650452999998</v>
      </c>
      <c r="AG10">
        <f t="shared" si="10"/>
        <v>1300.0427139999999</v>
      </c>
      <c r="AI10">
        <v>96777.481123999998</v>
      </c>
      <c r="AJ10">
        <v>96777.481123999998</v>
      </c>
      <c r="AK10">
        <v>91408.318008000002</v>
      </c>
      <c r="AL10">
        <v>102420.98183800001</v>
      </c>
      <c r="AM10">
        <v>116100.162793</v>
      </c>
      <c r="AN10">
        <v>116024.684393</v>
      </c>
      <c r="AO10">
        <v>115336.313369</v>
      </c>
      <c r="AP10">
        <v>115201.135339</v>
      </c>
      <c r="AQ10">
        <v>115125.076338</v>
      </c>
      <c r="AR10">
        <v>115373.86537499999</v>
      </c>
      <c r="AS10">
        <v>115211.587548</v>
      </c>
      <c r="AT10">
        <v>114838.865509</v>
      </c>
      <c r="AU10">
        <v>104894.451153</v>
      </c>
      <c r="AV10">
        <v>82880.405767999997</v>
      </c>
      <c r="AW10">
        <v>381.26998500000002</v>
      </c>
      <c r="AX10">
        <v>449.68301600000001</v>
      </c>
      <c r="AY10">
        <v>646.80250999999998</v>
      </c>
      <c r="AZ10">
        <v>667.07339899999999</v>
      </c>
      <c r="BA10">
        <v>553.00797899999998</v>
      </c>
      <c r="BB10">
        <v>700.544535</v>
      </c>
      <c r="BC10">
        <v>1382.4815189999999</v>
      </c>
      <c r="BD10">
        <v>1845.2742900000001</v>
      </c>
      <c r="BE10">
        <v>1915.5929610000001</v>
      </c>
      <c r="BF10">
        <v>3491.6489980000001</v>
      </c>
      <c r="BG10">
        <v>2926.0651509999998</v>
      </c>
      <c r="BH10">
        <v>2909.5315169999999</v>
      </c>
      <c r="BI10">
        <v>2547.2506429999999</v>
      </c>
      <c r="BJ10">
        <v>3457.5165280000001</v>
      </c>
      <c r="BK10">
        <v>2681.5998519999998</v>
      </c>
      <c r="BL10">
        <v>2203.6989279999998</v>
      </c>
      <c r="BM10">
        <v>3332.79702</v>
      </c>
      <c r="BN10">
        <v>2621.427072</v>
      </c>
      <c r="BO10">
        <v>3034.4895489999999</v>
      </c>
      <c r="BP10">
        <v>4724.3861790000001</v>
      </c>
      <c r="BQ10">
        <v>7313.6337819999999</v>
      </c>
      <c r="BR10">
        <v>5750.2392129999998</v>
      </c>
      <c r="BS10">
        <v>9988.4696999999996</v>
      </c>
      <c r="BT10">
        <v>11025.068055</v>
      </c>
      <c r="BU10">
        <v>15364.96053</v>
      </c>
      <c r="BV10">
        <v>14373.865256999999</v>
      </c>
      <c r="BW10">
        <v>19629.317752999999</v>
      </c>
      <c r="BX10">
        <v>14218.210268000001</v>
      </c>
      <c r="BY10">
        <v>19792.392331999999</v>
      </c>
      <c r="BZ10">
        <v>26234.769432000001</v>
      </c>
      <c r="CA10">
        <v>21320.057102999999</v>
      </c>
      <c r="CB10">
        <v>23413.334986000002</v>
      </c>
      <c r="CC10">
        <v>31482.365052000001</v>
      </c>
      <c r="CD10">
        <v>33365.795502000001</v>
      </c>
      <c r="CE10">
        <v>38882.382590000001</v>
      </c>
      <c r="CF10">
        <v>39616.946257000003</v>
      </c>
      <c r="CG10">
        <v>46583.644630000003</v>
      </c>
    </row>
    <row r="11" spans="1:85">
      <c r="A11" s="8">
        <v>1971</v>
      </c>
      <c r="B11">
        <v>472.46796399999999</v>
      </c>
      <c r="C11">
        <v>3775.140742</v>
      </c>
      <c r="D11">
        <v>117389.13256100001</v>
      </c>
      <c r="E11">
        <v>23588.330795000002</v>
      </c>
      <c r="F11">
        <v>7915.8453799999997</v>
      </c>
      <c r="G11">
        <v>9524.4985519999991</v>
      </c>
      <c r="H11">
        <v>8620.7591109999994</v>
      </c>
      <c r="I11">
        <v>115201.135339</v>
      </c>
      <c r="J11">
        <v>24699.286187000002</v>
      </c>
      <c r="K11">
        <v>1362.904667</v>
      </c>
      <c r="M11">
        <f>B11*$N$1/'biomass Atlantis'!M11</f>
        <v>1.3287426213951527E-3</v>
      </c>
      <c r="N11">
        <f>C11*$N$1/'biomass Atlantis'!N11</f>
        <v>1.8522064726427039E-4</v>
      </c>
      <c r="O11">
        <f>D11*$N$1/'biomass Atlantis'!O11</f>
        <v>0.17554635624622317</v>
      </c>
      <c r="P11">
        <f>E11*$N$1/'biomass Atlantis'!P11</f>
        <v>6.6440603660028619E-3</v>
      </c>
      <c r="Q11">
        <f>F11*$N$1/'biomass Atlantis'!Q11</f>
        <v>2.0925893059103645E-3</v>
      </c>
      <c r="R11">
        <f>G11*$N$1/'biomass Atlantis'!R11</f>
        <v>3.4514838236130558E-3</v>
      </c>
      <c r="S11">
        <f>H11*$N$1/'biomass Atlantis'!S11</f>
        <v>9.6014563942961074E-3</v>
      </c>
      <c r="T11">
        <f>I11*$N$1/'biomass Atlantis'!T11</f>
        <v>7.0912416225381081E-2</v>
      </c>
      <c r="U11">
        <f>J11*$N$1/'biomass Atlantis'!U11</f>
        <v>5.2083019807029327E-2</v>
      </c>
      <c r="V11">
        <f>K11*$N$1/'biomass Atlantis'!V11</f>
        <v>4.9098279124567168E-4</v>
      </c>
      <c r="X11">
        <f t="shared" si="1"/>
        <v>472.46796399999999</v>
      </c>
      <c r="Y11">
        <f t="shared" si="2"/>
        <v>3775.140742</v>
      </c>
      <c r="Z11">
        <f t="shared" si="3"/>
        <v>117389.13256100001</v>
      </c>
      <c r="AA11">
        <f t="shared" si="4"/>
        <v>23588.330795000002</v>
      </c>
      <c r="AB11">
        <f t="shared" si="5"/>
        <v>7915.8453799999997</v>
      </c>
      <c r="AC11">
        <f t="shared" si="6"/>
        <v>9524.4985519999991</v>
      </c>
      <c r="AD11">
        <f t="shared" si="7"/>
        <v>8620.7591109999994</v>
      </c>
      <c r="AE11">
        <f t="shared" si="8"/>
        <v>115201.135339</v>
      </c>
      <c r="AF11">
        <f t="shared" si="9"/>
        <v>24699.286187000002</v>
      </c>
      <c r="AG11">
        <f t="shared" si="10"/>
        <v>1362.904667</v>
      </c>
      <c r="AI11">
        <v>24898.517161</v>
      </c>
      <c r="AJ11">
        <v>24898.517161</v>
      </c>
      <c r="AK11">
        <v>22577.886497</v>
      </c>
      <c r="AL11">
        <v>22630.461234999999</v>
      </c>
      <c r="AM11">
        <v>23104.118673000001</v>
      </c>
      <c r="AN11">
        <v>23480.008247000002</v>
      </c>
      <c r="AO11">
        <v>24047.650452999998</v>
      </c>
      <c r="AP11">
        <v>24699.286187000002</v>
      </c>
      <c r="AQ11">
        <v>25374.648709000001</v>
      </c>
      <c r="AR11">
        <v>25649.253951999999</v>
      </c>
      <c r="AS11">
        <v>26116.610683999999</v>
      </c>
      <c r="AT11">
        <v>26193.659291</v>
      </c>
      <c r="AU11">
        <v>26242.123156000001</v>
      </c>
      <c r="AV11">
        <v>26384.733476000001</v>
      </c>
      <c r="AW11">
        <v>26691.958315</v>
      </c>
      <c r="AX11">
        <v>26987.998463</v>
      </c>
      <c r="AY11">
        <v>27141.828319</v>
      </c>
      <c r="AZ11">
        <v>27157.319213999999</v>
      </c>
      <c r="BA11">
        <v>26721.601199000001</v>
      </c>
      <c r="BB11">
        <v>27053.984694999999</v>
      </c>
      <c r="BC11">
        <v>26597.966153000001</v>
      </c>
      <c r="BD11">
        <v>26230.576226000001</v>
      </c>
      <c r="BE11">
        <v>25800.090840000001</v>
      </c>
      <c r="BF11">
        <v>25248.389615</v>
      </c>
      <c r="BG11">
        <v>24708.137495999999</v>
      </c>
      <c r="BH11">
        <v>23761.425796</v>
      </c>
      <c r="BI11">
        <v>21919.242595</v>
      </c>
      <c r="BJ11">
        <v>20845.473559999999</v>
      </c>
      <c r="BK11">
        <v>20299.049822000001</v>
      </c>
      <c r="BL11">
        <v>20621.6495</v>
      </c>
      <c r="BM11">
        <v>20530.186945000001</v>
      </c>
      <c r="BN11">
        <v>20114.725428000002</v>
      </c>
      <c r="BO11">
        <v>19474.377722000001</v>
      </c>
      <c r="BP11">
        <v>19396.601659</v>
      </c>
      <c r="BQ11">
        <v>19579.816094000002</v>
      </c>
      <c r="BR11">
        <v>18741.736552999999</v>
      </c>
      <c r="BS11">
        <v>18795.396831999999</v>
      </c>
      <c r="BT11">
        <v>18664.544277000001</v>
      </c>
      <c r="BU11">
        <v>18386.140574000001</v>
      </c>
      <c r="BV11">
        <v>18226.624586000002</v>
      </c>
      <c r="BW11">
        <v>18262.497490000002</v>
      </c>
      <c r="BX11">
        <v>18886.987800999999</v>
      </c>
      <c r="BY11">
        <v>18429.723958999999</v>
      </c>
      <c r="BZ11">
        <v>18518.341183</v>
      </c>
      <c r="CA11">
        <v>18122.456357999999</v>
      </c>
      <c r="CB11">
        <v>18496.863400999999</v>
      </c>
      <c r="CC11">
        <v>18744.606253000002</v>
      </c>
      <c r="CD11">
        <v>18822.733027999999</v>
      </c>
      <c r="CE11">
        <v>18853.688052000001</v>
      </c>
      <c r="CF11">
        <v>18882.704839000002</v>
      </c>
      <c r="CG11">
        <v>18748.081741000002</v>
      </c>
    </row>
    <row r="12" spans="1:85">
      <c r="A12" s="8">
        <v>1972</v>
      </c>
      <c r="B12">
        <v>520.45973800000002</v>
      </c>
      <c r="C12">
        <v>4190.7824129999999</v>
      </c>
      <c r="D12">
        <v>117154.87104100001</v>
      </c>
      <c r="E12">
        <v>24132.221646999998</v>
      </c>
      <c r="F12">
        <v>7174.4923760000001</v>
      </c>
      <c r="G12">
        <v>9612.4731950000005</v>
      </c>
      <c r="H12">
        <v>8341.7788579999997</v>
      </c>
      <c r="I12">
        <v>115125.076338</v>
      </c>
      <c r="J12">
        <v>25374.648709000001</v>
      </c>
      <c r="K12">
        <v>1436.7410239999999</v>
      </c>
      <c r="M12">
        <f>B12*$N$1/'biomass Atlantis'!M12</f>
        <v>1.3281057718532749E-3</v>
      </c>
      <c r="N12">
        <f>C12*$N$1/'biomass Atlantis'!N12</f>
        <v>1.9839651116726774E-4</v>
      </c>
      <c r="O12">
        <f>D12*$N$1/'biomass Atlantis'!O12</f>
        <v>0.21606662816214645</v>
      </c>
      <c r="P12">
        <f>E12*$N$1/'biomass Atlantis'!P12</f>
        <v>7.1128442384671767E-3</v>
      </c>
      <c r="Q12">
        <f>F12*$N$1/'biomass Atlantis'!Q12</f>
        <v>2.0720033524323821E-3</v>
      </c>
      <c r="R12">
        <f>G12*$N$1/'biomass Atlantis'!R12</f>
        <v>3.714951826338601E-3</v>
      </c>
      <c r="S12">
        <f>H12*$N$1/'biomass Atlantis'!S12</f>
        <v>1.0093430248857683E-2</v>
      </c>
      <c r="T12">
        <f>I12*$N$1/'biomass Atlantis'!T12</f>
        <v>7.455776281835795E-2</v>
      </c>
      <c r="U12">
        <f>J12*$N$1/'biomass Atlantis'!U12</f>
        <v>5.582859530689515E-2</v>
      </c>
      <c r="V12">
        <f>K12*$N$1/'biomass Atlantis'!V12</f>
        <v>5.3121867377150676E-4</v>
      </c>
      <c r="X12">
        <f t="shared" si="1"/>
        <v>520.45973800000002</v>
      </c>
      <c r="Y12">
        <f t="shared" si="2"/>
        <v>4190.7824129999999</v>
      </c>
      <c r="Z12">
        <f t="shared" si="3"/>
        <v>117154.87104100001</v>
      </c>
      <c r="AA12">
        <f t="shared" si="4"/>
        <v>24132.221646999998</v>
      </c>
      <c r="AB12">
        <f t="shared" si="5"/>
        <v>7174.4923760000001</v>
      </c>
      <c r="AC12">
        <f t="shared" si="6"/>
        <v>9612.4731950000005</v>
      </c>
      <c r="AD12">
        <f t="shared" si="7"/>
        <v>8341.7788579999997</v>
      </c>
      <c r="AE12">
        <f t="shared" si="8"/>
        <v>115125.076338</v>
      </c>
      <c r="AF12">
        <f t="shared" si="9"/>
        <v>25374.648709000001</v>
      </c>
      <c r="AG12">
        <f t="shared" si="10"/>
        <v>1436.7410239999999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>
      <c r="A13" s="8">
        <v>1973</v>
      </c>
      <c r="B13">
        <v>589.58914200000004</v>
      </c>
      <c r="C13">
        <v>4678.7824289999999</v>
      </c>
      <c r="D13">
        <v>116547.378274</v>
      </c>
      <c r="E13">
        <v>24478.019195000001</v>
      </c>
      <c r="F13">
        <v>6635.5679760000003</v>
      </c>
      <c r="G13">
        <v>9963.2055409999994</v>
      </c>
      <c r="H13">
        <v>8004.5261909999999</v>
      </c>
      <c r="I13">
        <v>115373.86537499999</v>
      </c>
      <c r="J13">
        <v>25649.253951999999</v>
      </c>
      <c r="K13">
        <v>1506.0425439999999</v>
      </c>
      <c r="M13">
        <f>B13*$N$1/'biomass Atlantis'!M13</f>
        <v>1.4025920420533417E-3</v>
      </c>
      <c r="N13">
        <f>C13*$N$1/'biomass Atlantis'!N13</f>
        <v>2.1356439049527451E-4</v>
      </c>
      <c r="O13">
        <f>D13*$N$1/'biomass Atlantis'!O13</f>
        <v>0.2461140634817966</v>
      </c>
      <c r="P13">
        <f>E13*$N$1/'biomass Atlantis'!P13</f>
        <v>7.6026795136011818E-3</v>
      </c>
      <c r="Q13">
        <f>F13*$N$1/'biomass Atlantis'!Q13</f>
        <v>2.0737764919918668E-3</v>
      </c>
      <c r="R13">
        <f>G13*$N$1/'biomass Atlantis'!R13</f>
        <v>3.9640328503259712E-3</v>
      </c>
      <c r="S13">
        <f>H13*$N$1/'biomass Atlantis'!S13</f>
        <v>1.0461143666473355E-2</v>
      </c>
      <c r="T13">
        <f>I13*$N$1/'biomass Atlantis'!T13</f>
        <v>8.157557332353195E-2</v>
      </c>
      <c r="U13">
        <f>J13*$N$1/'biomass Atlantis'!U13</f>
        <v>5.9184596521845489E-2</v>
      </c>
      <c r="V13">
        <f>K13*$N$1/'biomass Atlantis'!V13</f>
        <v>5.6924227372453541E-4</v>
      </c>
      <c r="X13">
        <f t="shared" si="1"/>
        <v>589.58914200000004</v>
      </c>
      <c r="Y13">
        <f t="shared" si="2"/>
        <v>4678.7824289999999</v>
      </c>
      <c r="Z13">
        <f t="shared" si="3"/>
        <v>116547.378274</v>
      </c>
      <c r="AA13">
        <f t="shared" si="4"/>
        <v>24478.019195000001</v>
      </c>
      <c r="AB13">
        <f t="shared" si="5"/>
        <v>6635.5679760000003</v>
      </c>
      <c r="AC13">
        <f t="shared" si="6"/>
        <v>9963.2055409999994</v>
      </c>
      <c r="AD13">
        <f t="shared" si="7"/>
        <v>8004.5261909999999</v>
      </c>
      <c r="AE13">
        <f t="shared" si="8"/>
        <v>115373.86537499999</v>
      </c>
      <c r="AF13">
        <f t="shared" si="9"/>
        <v>25649.253951999999</v>
      </c>
      <c r="AG13">
        <f t="shared" si="10"/>
        <v>1506.0425439999999</v>
      </c>
    </row>
    <row r="14" spans="1:85">
      <c r="A14" s="8">
        <v>1974</v>
      </c>
      <c r="B14">
        <v>708.99684300000001</v>
      </c>
      <c r="C14">
        <v>5148.3284030000004</v>
      </c>
      <c r="D14">
        <v>116246.002873</v>
      </c>
      <c r="E14">
        <v>24556.040896999999</v>
      </c>
      <c r="F14">
        <v>6269.4077989999996</v>
      </c>
      <c r="G14">
        <v>10178.345851</v>
      </c>
      <c r="H14">
        <v>7693.1215949999996</v>
      </c>
      <c r="I14">
        <v>115211.587548</v>
      </c>
      <c r="J14">
        <v>26116.610683999999</v>
      </c>
      <c r="K14">
        <v>1578.3882120000001</v>
      </c>
      <c r="M14">
        <f>B14*$N$1/'biomass Atlantis'!M14</f>
        <v>1.5647752962590952E-3</v>
      </c>
      <c r="N14">
        <f>C14*$N$1/'biomass Atlantis'!N14</f>
        <v>2.3571679434636168E-4</v>
      </c>
      <c r="O14">
        <f>D14*$N$1/'biomass Atlantis'!O14</f>
        <v>0.25895943631995655</v>
      </c>
      <c r="P14">
        <f>E14*$N$1/'biomass Atlantis'!P14</f>
        <v>8.0076303248027923E-3</v>
      </c>
      <c r="Q14">
        <f>F14*$N$1/'biomass Atlantis'!Q14</f>
        <v>2.1112117591225023E-3</v>
      </c>
      <c r="R14">
        <f>G14*$N$1/'biomass Atlantis'!R14</f>
        <v>4.3135858978851352E-3</v>
      </c>
      <c r="S14">
        <f>H14*$N$1/'biomass Atlantis'!S14</f>
        <v>1.0936882091433505E-2</v>
      </c>
      <c r="T14">
        <f>I14*$N$1/'biomass Atlantis'!T14</f>
        <v>8.8241581755227533E-2</v>
      </c>
      <c r="U14">
        <f>J14*$N$1/'biomass Atlantis'!U14</f>
        <v>6.3253196732900224E-2</v>
      </c>
      <c r="V14">
        <f>K14*$N$1/'biomass Atlantis'!V14</f>
        <v>6.1740539025965404E-4</v>
      </c>
      <c r="X14">
        <f t="shared" si="1"/>
        <v>708.99684300000001</v>
      </c>
      <c r="Y14">
        <f t="shared" si="2"/>
        <v>5148.3284030000004</v>
      </c>
      <c r="Z14">
        <f t="shared" si="3"/>
        <v>116246.002873</v>
      </c>
      <c r="AA14">
        <f t="shared" si="4"/>
        <v>24556.040896999999</v>
      </c>
      <c r="AB14">
        <f t="shared" si="5"/>
        <v>6269.4077989999996</v>
      </c>
      <c r="AC14">
        <f t="shared" si="6"/>
        <v>10178.345851</v>
      </c>
      <c r="AD14">
        <f t="shared" si="7"/>
        <v>7693.1215949999996</v>
      </c>
      <c r="AE14">
        <f t="shared" si="8"/>
        <v>115211.587548</v>
      </c>
      <c r="AF14">
        <f t="shared" si="9"/>
        <v>26116.610683999999</v>
      </c>
      <c r="AG14">
        <f t="shared" si="10"/>
        <v>1578.3882120000001</v>
      </c>
    </row>
    <row r="15" spans="1:85">
      <c r="A15" s="8">
        <v>1975</v>
      </c>
      <c r="B15">
        <v>786.78938800000003</v>
      </c>
      <c r="C15">
        <v>5571.3212960000001</v>
      </c>
      <c r="D15">
        <v>116077.440095</v>
      </c>
      <c r="E15">
        <v>24517.343147</v>
      </c>
      <c r="F15">
        <v>5952.4677389999997</v>
      </c>
      <c r="G15">
        <v>10266.319659000001</v>
      </c>
      <c r="H15">
        <v>7379.7652680000001</v>
      </c>
      <c r="I15">
        <v>114838.865509</v>
      </c>
      <c r="J15">
        <v>26193.659291</v>
      </c>
      <c r="K15">
        <v>1652.579164</v>
      </c>
      <c r="M15">
        <f>B15*$N$1/'biomass Atlantis'!M15</f>
        <v>1.6071871462571784E-3</v>
      </c>
      <c r="N15">
        <f>C15*$N$1/'biomass Atlantis'!N15</f>
        <v>2.5142574699091411E-4</v>
      </c>
      <c r="O15">
        <f>D15*$N$1/'biomass Atlantis'!O15</f>
        <v>0.23510895589819825</v>
      </c>
      <c r="P15">
        <f>E15*$N$1/'biomass Atlantis'!P15</f>
        <v>8.4176085380506648E-3</v>
      </c>
      <c r="Q15">
        <f>F15*$N$1/'biomass Atlantis'!Q15</f>
        <v>2.1491995611003451E-3</v>
      </c>
      <c r="R15">
        <f>G15*$N$1/'biomass Atlantis'!R15</f>
        <v>4.6102590079150161E-3</v>
      </c>
      <c r="S15">
        <f>H15*$N$1/'biomass Atlantis'!S15</f>
        <v>1.137622312502462E-2</v>
      </c>
      <c r="T15">
        <f>I15*$N$1/'biomass Atlantis'!T15</f>
        <v>0.14123040600387687</v>
      </c>
      <c r="U15">
        <f>J15*$N$1/'biomass Atlantis'!U15</f>
        <v>6.6914283497960109E-2</v>
      </c>
      <c r="V15">
        <f>K15*$N$1/'biomass Atlantis'!V15</f>
        <v>6.6650024599859844E-4</v>
      </c>
      <c r="X15">
        <f t="shared" si="1"/>
        <v>786.78938800000003</v>
      </c>
      <c r="Y15">
        <f t="shared" si="2"/>
        <v>5571.3212960000001</v>
      </c>
      <c r="Z15">
        <f t="shared" si="3"/>
        <v>116077.440095</v>
      </c>
      <c r="AA15">
        <f t="shared" si="4"/>
        <v>24517.343147</v>
      </c>
      <c r="AB15">
        <f t="shared" si="5"/>
        <v>5952.4677389999997</v>
      </c>
      <c r="AC15">
        <f t="shared" si="6"/>
        <v>10266.319659000001</v>
      </c>
      <c r="AD15">
        <f t="shared" si="7"/>
        <v>7379.7652680000001</v>
      </c>
      <c r="AE15">
        <f t="shared" si="8"/>
        <v>114838.865509</v>
      </c>
      <c r="AF15">
        <f t="shared" si="9"/>
        <v>26193.659291</v>
      </c>
      <c r="AG15">
        <f t="shared" si="10"/>
        <v>1652.579164</v>
      </c>
    </row>
    <row r="16" spans="1:85">
      <c r="A16" s="8">
        <v>1976</v>
      </c>
      <c r="B16">
        <v>881.68898000000002</v>
      </c>
      <c r="C16">
        <v>6130.0857189999997</v>
      </c>
      <c r="D16">
        <v>115916.97278900001</v>
      </c>
      <c r="E16">
        <v>24719.28412</v>
      </c>
      <c r="F16">
        <v>5965.4156839999996</v>
      </c>
      <c r="G16">
        <v>10030.998591</v>
      </c>
      <c r="H16">
        <v>7158.2410959999997</v>
      </c>
      <c r="I16">
        <v>104894.451153</v>
      </c>
      <c r="J16">
        <v>26242.123156000001</v>
      </c>
      <c r="K16">
        <v>1724.7080539999999</v>
      </c>
      <c r="M16">
        <f>B16*$N$1/'biomass Atlantis'!M16</f>
        <v>1.673699624216411E-3</v>
      </c>
      <c r="N16">
        <f>C16*$N$1/'biomass Atlantis'!N16</f>
        <v>2.7379306930215287E-4</v>
      </c>
      <c r="O16">
        <f>D16*$N$1/'biomass Atlantis'!O16</f>
        <v>0.29133715221708578</v>
      </c>
      <c r="P16">
        <f>E16*$N$1/'biomass Atlantis'!P16</f>
        <v>9.0312174130081739E-3</v>
      </c>
      <c r="Q16">
        <f>F16*$N$1/'biomass Atlantis'!Q16</f>
        <v>2.3276347646331175E-3</v>
      </c>
      <c r="R16">
        <f>G16*$N$1/'biomass Atlantis'!R16</f>
        <v>4.9075991246377727E-3</v>
      </c>
      <c r="S16">
        <f>H16*$N$1/'biomass Atlantis'!S16</f>
        <v>1.2339735097720638E-2</v>
      </c>
      <c r="T16">
        <f>I16*$N$1/'biomass Atlantis'!T16</f>
        <v>0.20292226639110597</v>
      </c>
      <c r="U16">
        <f>J16*$N$1/'biomass Atlantis'!U16</f>
        <v>7.0735956814490852E-2</v>
      </c>
      <c r="V16">
        <f>K16*$N$1/'biomass Atlantis'!V16</f>
        <v>7.2236477335681714E-4</v>
      </c>
      <c r="X16">
        <f t="shared" si="1"/>
        <v>881.68898000000002</v>
      </c>
      <c r="Y16">
        <f t="shared" si="2"/>
        <v>6130.0857189999997</v>
      </c>
      <c r="Z16">
        <f t="shared" si="3"/>
        <v>115916.97278900001</v>
      </c>
      <c r="AA16">
        <f t="shared" si="4"/>
        <v>24719.28412</v>
      </c>
      <c r="AB16">
        <f t="shared" si="5"/>
        <v>5965.4156839999996</v>
      </c>
      <c r="AC16">
        <f t="shared" si="6"/>
        <v>10030.998591</v>
      </c>
      <c r="AD16">
        <f t="shared" si="7"/>
        <v>7158.2410959999997</v>
      </c>
      <c r="AE16">
        <f t="shared" si="8"/>
        <v>104894.451153</v>
      </c>
      <c r="AF16">
        <f t="shared" si="9"/>
        <v>26242.123156000001</v>
      </c>
      <c r="AG16">
        <f t="shared" si="10"/>
        <v>1724.7080539999999</v>
      </c>
      <c r="AI16" t="s">
        <v>248</v>
      </c>
    </row>
    <row r="17" spans="1:85">
      <c r="A17" s="8">
        <v>1977</v>
      </c>
      <c r="B17">
        <v>1052.626906</v>
      </c>
      <c r="C17">
        <v>6646.9508169999999</v>
      </c>
      <c r="D17">
        <v>115677.694661</v>
      </c>
      <c r="E17">
        <v>24656.069427999999</v>
      </c>
      <c r="F17">
        <v>5759.2543180000002</v>
      </c>
      <c r="G17">
        <v>10073.221027</v>
      </c>
      <c r="H17">
        <v>6883.083952</v>
      </c>
      <c r="I17">
        <v>82880.405767999997</v>
      </c>
      <c r="J17">
        <v>26384.733476000001</v>
      </c>
      <c r="K17">
        <v>1796.9972499999999</v>
      </c>
      <c r="M17">
        <f>B17*$N$1/'biomass Atlantis'!M17</f>
        <v>1.8656182060076065E-3</v>
      </c>
      <c r="N17">
        <f>C17*$N$1/'biomass Atlantis'!N17</f>
        <v>3.0855961861106832E-4</v>
      </c>
      <c r="O17">
        <f>D17*$N$1/'biomass Atlantis'!O17</f>
        <v>0.33951330135904784</v>
      </c>
      <c r="P17">
        <f>E17*$N$1/'biomass Atlantis'!P17</f>
        <v>9.6228935796456253E-3</v>
      </c>
      <c r="Q17">
        <f>F17*$N$1/'biomass Atlantis'!Q17</f>
        <v>2.4337607802626623E-3</v>
      </c>
      <c r="R17">
        <f>G17*$N$1/'biomass Atlantis'!R17</f>
        <v>5.1822518405060585E-3</v>
      </c>
      <c r="S17">
        <f>H17*$N$1/'biomass Atlantis'!S17</f>
        <v>1.3292860893441028E-2</v>
      </c>
      <c r="T17">
        <f>I17*$N$1/'biomass Atlantis'!T17</f>
        <v>0.18983221553344184</v>
      </c>
      <c r="U17">
        <f>J17*$N$1/'biomass Atlantis'!U17</f>
        <v>7.5079894068561998E-2</v>
      </c>
      <c r="V17">
        <f>K17*$N$1/'biomass Atlantis'!V17</f>
        <v>7.8541324682202321E-4</v>
      </c>
      <c r="X17">
        <f t="shared" si="1"/>
        <v>1052.626906</v>
      </c>
      <c r="Y17">
        <f t="shared" si="2"/>
        <v>6646.9508169999999</v>
      </c>
      <c r="Z17">
        <f t="shared" si="3"/>
        <v>115677.694661</v>
      </c>
      <c r="AA17">
        <f t="shared" si="4"/>
        <v>24656.069427999999</v>
      </c>
      <c r="AB17">
        <f t="shared" si="5"/>
        <v>5759.2543180000002</v>
      </c>
      <c r="AC17">
        <f t="shared" si="6"/>
        <v>10073.221027</v>
      </c>
      <c r="AD17">
        <f t="shared" si="7"/>
        <v>6883.083952</v>
      </c>
      <c r="AE17">
        <f t="shared" si="8"/>
        <v>82880.405767999997</v>
      </c>
      <c r="AF17">
        <f t="shared" si="9"/>
        <v>26384.733476000001</v>
      </c>
      <c r="AG17">
        <f t="shared" si="10"/>
        <v>1796.9972499999999</v>
      </c>
      <c r="AI17" s="1">
        <f>AI3/'biomass Atlantis'!X4</f>
        <v>1.12658817627824E-3</v>
      </c>
      <c r="AJ17" s="1">
        <f>AJ3/'biomass Atlantis'!Y4</f>
        <v>1.1420098776662451E-3</v>
      </c>
      <c r="AK17" s="1">
        <f>AK3/'biomass Atlantis'!Z4</f>
        <v>1.2186740729811997E-3</v>
      </c>
      <c r="AL17" s="1">
        <f>AL3/'biomass Atlantis'!AA4</f>
        <v>1.1877393539140816E-3</v>
      </c>
      <c r="AM17" s="1">
        <f>AM3/'biomass Atlantis'!AB4</f>
        <v>1.3876073525936575E-3</v>
      </c>
      <c r="AN17" s="1">
        <f>AN3/'biomass Atlantis'!AC4</f>
        <v>1.2580197938614362E-3</v>
      </c>
      <c r="AO17" s="1">
        <f>AO3/'biomass Atlantis'!AD4</f>
        <v>1.3419130881695625E-3</v>
      </c>
      <c r="AP17" s="1">
        <f>AP3/'biomass Atlantis'!AE4</f>
        <v>1.3287426213951527E-3</v>
      </c>
      <c r="AQ17" s="1">
        <f>AQ3/'biomass Atlantis'!AF4</f>
        <v>1.3281057718532749E-3</v>
      </c>
      <c r="AR17" s="1">
        <f>AR3/'biomass Atlantis'!AG4</f>
        <v>1.4025920420533417E-3</v>
      </c>
      <c r="AS17" s="1">
        <f>AS3/'biomass Atlantis'!AH4</f>
        <v>1.5647752962590952E-3</v>
      </c>
      <c r="AT17" s="1">
        <f>AT3/'biomass Atlantis'!AI4</f>
        <v>1.6071871462571784E-3</v>
      </c>
      <c r="AU17" s="1">
        <f>AU3/'biomass Atlantis'!AJ4</f>
        <v>1.673699624216411E-3</v>
      </c>
      <c r="AV17" s="1">
        <f>AV3/'biomass Atlantis'!AK4</f>
        <v>1.8656182060076065E-3</v>
      </c>
      <c r="AW17" s="1">
        <f>AW3/'biomass Atlantis'!AL4</f>
        <v>1.9112714725858248E-3</v>
      </c>
      <c r="AX17" s="1">
        <f>AX3/'biomass Atlantis'!AM4</f>
        <v>1.9862637645482119E-3</v>
      </c>
      <c r="AY17" s="1">
        <f>AY3/'biomass Atlantis'!AN4</f>
        <v>2.1102706256693228E-3</v>
      </c>
      <c r="AZ17" s="1">
        <f>AZ3/'biomass Atlantis'!AO4</f>
        <v>2.2344836344059199E-3</v>
      </c>
      <c r="BA17" s="1">
        <f>BA3/'biomass Atlantis'!AP4</f>
        <v>2.2907835181013294E-3</v>
      </c>
      <c r="BB17" s="1">
        <f>BB3/'biomass Atlantis'!AQ4</f>
        <v>2.3457824573422967E-3</v>
      </c>
      <c r="BC17" s="1">
        <f>BC3/'biomass Atlantis'!AR4</f>
        <v>2.3829338739917339E-3</v>
      </c>
      <c r="BD17" s="1">
        <f>BD3/'biomass Atlantis'!AS4</f>
        <v>2.0114020045407179E-3</v>
      </c>
      <c r="BE17" s="1">
        <f>BE3/'biomass Atlantis'!AT4</f>
        <v>2.3702739206080937E-3</v>
      </c>
      <c r="BF17" s="1">
        <f>BF3/'biomass Atlantis'!AU4</f>
        <v>2.3719653638849618E-3</v>
      </c>
      <c r="BG17" s="1">
        <f>BG3/'biomass Atlantis'!AV4</f>
        <v>2.3184489828158936E-3</v>
      </c>
      <c r="BH17" s="1">
        <f>BH3/'biomass Atlantis'!AW4</f>
        <v>2.3828647057913071E-3</v>
      </c>
      <c r="BI17" s="1">
        <f>BI3/'biomass Atlantis'!AX4</f>
        <v>2.3516077975356884E-3</v>
      </c>
      <c r="BJ17" s="1">
        <f>BJ3/'biomass Atlantis'!AY4</f>
        <v>2.2046894285189518E-3</v>
      </c>
      <c r="BK17" s="1">
        <f>BK3/'biomass Atlantis'!AZ4</f>
        <v>2.4508627921200829E-3</v>
      </c>
      <c r="BL17" s="1">
        <f>BL3/'biomass Atlantis'!BA4</f>
        <v>2.4690923879964093E-3</v>
      </c>
      <c r="BM17" s="1">
        <f>BM3/'biomass Atlantis'!BB4</f>
        <v>2.3822321536582191E-3</v>
      </c>
      <c r="BN17" s="1">
        <f>BN3/'biomass Atlantis'!BC4</f>
        <v>2.3961788186951938E-3</v>
      </c>
      <c r="BO17" s="1">
        <f>BO3/'biomass Atlantis'!BD4</f>
        <v>2.4807099045157841E-3</v>
      </c>
      <c r="BP17" s="1">
        <f>BP3/'biomass Atlantis'!BE4</f>
        <v>2.2714746385031608E-3</v>
      </c>
      <c r="BQ17" s="1">
        <f>BQ3/'biomass Atlantis'!BF4</f>
        <v>2.4084105179554122E-3</v>
      </c>
      <c r="BR17" s="1">
        <f>BR3/'biomass Atlantis'!BG4</f>
        <v>2.4560614684212313E-3</v>
      </c>
      <c r="BS17" s="1">
        <f>BS3/'biomass Atlantis'!BH4</f>
        <v>2.550445173707774E-3</v>
      </c>
      <c r="BT17" s="1">
        <f>BT3/'biomass Atlantis'!BI4</f>
        <v>2.4495839196135801E-3</v>
      </c>
      <c r="BU17" s="1">
        <f>BU3/'biomass Atlantis'!BJ4</f>
        <v>2.4159914947233692E-3</v>
      </c>
      <c r="BV17" s="1">
        <f>BV3/'biomass Atlantis'!BK4</f>
        <v>2.4542572366675315E-3</v>
      </c>
      <c r="BW17" s="1">
        <f>BW3/'biomass Atlantis'!BL4</f>
        <v>2.1406986256374948E-3</v>
      </c>
      <c r="BX17" s="1">
        <f>BX3/'biomass Atlantis'!BM4</f>
        <v>2.564555085628085E-3</v>
      </c>
      <c r="BY17" s="1">
        <f>BY3/'biomass Atlantis'!BN4</f>
        <v>3.0142593823688137E-3</v>
      </c>
      <c r="BZ17" s="1">
        <f>BZ3/'biomass Atlantis'!BO4</f>
        <v>3.459951880446426E-3</v>
      </c>
      <c r="CA17" s="1">
        <f>CA3/'biomass Atlantis'!BP4</f>
        <v>3.7181196285777387E-3</v>
      </c>
      <c r="CB17" s="1">
        <f>CB3/'biomass Atlantis'!BQ4</f>
        <v>3.5459768179538949E-3</v>
      </c>
      <c r="CC17" s="1">
        <f>CC3/'biomass Atlantis'!BR4</f>
        <v>3.3806722802376672E-3</v>
      </c>
      <c r="CD17" s="1">
        <f>CD3/'biomass Atlantis'!BS4</f>
        <v>3.5039390527304183E-3</v>
      </c>
      <c r="CE17" s="1">
        <f>CE3/'biomass Atlantis'!BT4</f>
        <v>3.493811651520724E-3</v>
      </c>
      <c r="CF17" s="1">
        <f>CF3/'biomass Atlantis'!BU4</f>
        <v>3.4184616428677424E-3</v>
      </c>
      <c r="CG17" s="1">
        <f>CG3/'biomass Atlantis'!BV4</f>
        <v>3.4895997357679174E-3</v>
      </c>
    </row>
    <row r="18" spans="1:85">
      <c r="A18" s="8">
        <v>1978</v>
      </c>
      <c r="B18">
        <v>1153.9553510000001</v>
      </c>
      <c r="C18">
        <v>7046.42605</v>
      </c>
      <c r="D18">
        <v>2587.6688349999999</v>
      </c>
      <c r="E18">
        <v>25068.986776999998</v>
      </c>
      <c r="F18">
        <v>5639.0006940000003</v>
      </c>
      <c r="G18">
        <v>10131.939482</v>
      </c>
      <c r="H18">
        <v>6606.6611320000002</v>
      </c>
      <c r="I18">
        <v>381.26998500000002</v>
      </c>
      <c r="J18">
        <v>26691.958315</v>
      </c>
      <c r="K18">
        <v>1862.8865310000001</v>
      </c>
      <c r="M18">
        <f>B18*$N$1/'biomass Atlantis'!M18</f>
        <v>1.9112714725858248E-3</v>
      </c>
      <c r="N18">
        <f>C18*$N$1/'biomass Atlantis'!N18</f>
        <v>3.3068759921201527E-4</v>
      </c>
      <c r="O18">
        <f>D18*$N$1/'biomass Atlantis'!O18</f>
        <v>3.8686187787776629E-3</v>
      </c>
      <c r="P18">
        <f>E18*$N$1/'biomass Atlantis'!P18</f>
        <v>1.0346615290428686E-2</v>
      </c>
      <c r="Q18">
        <f>F18*$N$1/'biomass Atlantis'!Q18</f>
        <v>2.5699434904834424E-3</v>
      </c>
      <c r="R18">
        <f>G18*$N$1/'biomass Atlantis'!R18</f>
        <v>5.6529359266966851E-3</v>
      </c>
      <c r="S18">
        <f>H18*$N$1/'biomass Atlantis'!S18</f>
        <v>1.4422865411509901E-2</v>
      </c>
      <c r="T18">
        <f>I18*$N$1/'biomass Atlantis'!T18</f>
        <v>5.6941824695884338E-4</v>
      </c>
      <c r="U18">
        <f>J18*$N$1/'biomass Atlantis'!U18</f>
        <v>7.9891273545357647E-2</v>
      </c>
      <c r="V18">
        <f>K18*$N$1/'biomass Atlantis'!V18</f>
        <v>8.5397353402108685E-4</v>
      </c>
      <c r="X18">
        <f t="shared" si="1"/>
        <v>1153.9553510000001</v>
      </c>
      <c r="Y18">
        <f t="shared" si="2"/>
        <v>7046.42605</v>
      </c>
      <c r="Z18">
        <f t="shared" si="3"/>
        <v>2587.6688349999999</v>
      </c>
      <c r="AA18">
        <f t="shared" si="4"/>
        <v>25068.986776999998</v>
      </c>
      <c r="AB18">
        <f t="shared" si="5"/>
        <v>5639.0006940000003</v>
      </c>
      <c r="AC18">
        <f t="shared" si="6"/>
        <v>10131.939482</v>
      </c>
      <c r="AD18">
        <f t="shared" si="7"/>
        <v>6606.6611320000002</v>
      </c>
      <c r="AE18">
        <f t="shared" si="8"/>
        <v>381.26998500000002</v>
      </c>
      <c r="AF18">
        <f t="shared" si="9"/>
        <v>26691.958315</v>
      </c>
      <c r="AG18">
        <f t="shared" si="10"/>
        <v>1862.8865310000001</v>
      </c>
      <c r="AI18" s="1">
        <f>AI4/'biomass Atlantis'!X5</f>
        <v>2.2911908002851145E-4</v>
      </c>
      <c r="AJ18" s="1">
        <f>AJ4/'biomass Atlantis'!Y5</f>
        <v>1.7527925300115778E-4</v>
      </c>
      <c r="AK18" s="1">
        <f>AK4/'biomass Atlantis'!Z5</f>
        <v>1.564360571496783E-4</v>
      </c>
      <c r="AL18" s="1">
        <f>AL4/'biomass Atlantis'!AA5</f>
        <v>1.4779148814529888E-4</v>
      </c>
      <c r="AM18" s="1">
        <f>AM4/'biomass Atlantis'!AB5</f>
        <v>1.499272966314576E-4</v>
      </c>
      <c r="AN18" s="1">
        <f>AN4/'biomass Atlantis'!AC5</f>
        <v>1.5743409610347942E-4</v>
      </c>
      <c r="AO18" s="1">
        <f>AO4/'biomass Atlantis'!AD5</f>
        <v>1.6826498807982472E-4</v>
      </c>
      <c r="AP18" s="1">
        <f>AP4/'biomass Atlantis'!AE5</f>
        <v>1.8522064726427039E-4</v>
      </c>
      <c r="AQ18" s="1">
        <f>AQ4/'biomass Atlantis'!AF5</f>
        <v>1.9839651116726774E-4</v>
      </c>
      <c r="AR18" s="1">
        <f>AR4/'biomass Atlantis'!AG5</f>
        <v>2.1356439049527451E-4</v>
      </c>
      <c r="AS18" s="1">
        <f>AS4/'biomass Atlantis'!AH5</f>
        <v>2.3571679434636168E-4</v>
      </c>
      <c r="AT18" s="1">
        <f>AT4/'biomass Atlantis'!AI5</f>
        <v>2.5142574699091411E-4</v>
      </c>
      <c r="AU18" s="1">
        <f>AU4/'biomass Atlantis'!AJ5</f>
        <v>2.7379306930215287E-4</v>
      </c>
      <c r="AV18" s="1">
        <f>AV4/'biomass Atlantis'!AK5</f>
        <v>3.0855961861106832E-4</v>
      </c>
      <c r="AW18" s="1">
        <f>AW4/'biomass Atlantis'!AL5</f>
        <v>3.3068759921201527E-4</v>
      </c>
      <c r="AX18" s="1">
        <f>AX4/'biomass Atlantis'!AM5</f>
        <v>3.5941352400752335E-4</v>
      </c>
      <c r="AY18" s="1">
        <f>AY4/'biomass Atlantis'!AN5</f>
        <v>4.0690076028799556E-4</v>
      </c>
      <c r="AZ18" s="1">
        <f>AZ4/'biomass Atlantis'!AO5</f>
        <v>4.260662081480542E-4</v>
      </c>
      <c r="BA18" s="1">
        <f>BA4/'biomass Atlantis'!AP5</f>
        <v>4.548999718974798E-4</v>
      </c>
      <c r="BB18" s="1">
        <f>BB4/'biomass Atlantis'!AQ5</f>
        <v>4.9955772143993728E-4</v>
      </c>
      <c r="BC18" s="1">
        <f>BC4/'biomass Atlantis'!AR5</f>
        <v>5.2092549177841865E-4</v>
      </c>
      <c r="BD18" s="1">
        <f>BD4/'biomass Atlantis'!AS5</f>
        <v>5.4137309200093448E-4</v>
      </c>
      <c r="BE18" s="1">
        <f>BE4/'biomass Atlantis'!AT5</f>
        <v>6.0011478695463341E-4</v>
      </c>
      <c r="BF18" s="1">
        <f>BF4/'biomass Atlantis'!AU5</f>
        <v>6.2391096011530799E-4</v>
      </c>
      <c r="BG18" s="1">
        <f>BG4/'biomass Atlantis'!AV5</f>
        <v>6.6405089617240182E-4</v>
      </c>
      <c r="BH18" s="1">
        <f>BH4/'biomass Atlantis'!AW5</f>
        <v>6.912721477265795E-4</v>
      </c>
      <c r="BI18" s="1">
        <f>BI4/'biomass Atlantis'!AX5</f>
        <v>6.7613820993676454E-4</v>
      </c>
      <c r="BJ18" s="1">
        <f>BJ4/'biomass Atlantis'!AY5</f>
        <v>6.7239041086475631E-4</v>
      </c>
      <c r="BK18" s="1">
        <f>BK4/'biomass Atlantis'!AZ5</f>
        <v>6.7845642908238445E-4</v>
      </c>
      <c r="BL18" s="1">
        <f>BL4/'biomass Atlantis'!BA5</f>
        <v>6.844951119717083E-4</v>
      </c>
      <c r="BM18" s="1">
        <f>BM4/'biomass Atlantis'!BB5</f>
        <v>6.8232569086301112E-4</v>
      </c>
      <c r="BN18" s="1">
        <f>BN4/'biomass Atlantis'!BC5</f>
        <v>6.9006718322394778E-4</v>
      </c>
      <c r="BO18" s="1">
        <f>BO4/'biomass Atlantis'!BD5</f>
        <v>7.0422015807253767E-4</v>
      </c>
      <c r="BP18" s="1">
        <f>BP4/'biomass Atlantis'!BE5</f>
        <v>6.9755715479261494E-4</v>
      </c>
      <c r="BQ18" s="1">
        <f>BQ4/'biomass Atlantis'!BF5</f>
        <v>7.091064636157333E-4</v>
      </c>
      <c r="BR18" s="1">
        <f>BR4/'biomass Atlantis'!BG5</f>
        <v>6.9678010555972256E-4</v>
      </c>
      <c r="BS18" s="1">
        <f>BS4/'biomass Atlantis'!BH5</f>
        <v>6.8686223735061345E-4</v>
      </c>
      <c r="BT18" s="1">
        <f>BT4/'biomass Atlantis'!BI5</f>
        <v>6.6556975045344317E-4</v>
      </c>
      <c r="BU18" s="1">
        <f>BU4/'biomass Atlantis'!BJ5</f>
        <v>6.4081812106848415E-4</v>
      </c>
      <c r="BV18" s="1">
        <f>BV4/'biomass Atlantis'!BK5</f>
        <v>6.1645634436827503E-4</v>
      </c>
      <c r="BW18" s="1">
        <f>BW4/'biomass Atlantis'!BL5</f>
        <v>6.0536280025673297E-4</v>
      </c>
      <c r="BX18" s="1">
        <f>BX4/'biomass Atlantis'!BM5</f>
        <v>5.9386788878538826E-4</v>
      </c>
      <c r="BY18" s="1">
        <f>BY4/'biomass Atlantis'!BN5</f>
        <v>5.8078220326745632E-4</v>
      </c>
      <c r="BZ18" s="1">
        <f>BZ4/'biomass Atlantis'!BO5</f>
        <v>5.7115443401568259E-4</v>
      </c>
      <c r="CA18" s="1">
        <f>CA4/'biomass Atlantis'!BP5</f>
        <v>5.5326258797678608E-4</v>
      </c>
      <c r="CB18" s="1">
        <f>CB4/'biomass Atlantis'!BQ5</f>
        <v>5.4726809779845537E-4</v>
      </c>
      <c r="CC18" s="1">
        <f>CC4/'biomass Atlantis'!BR5</f>
        <v>5.4315650480316557E-4</v>
      </c>
      <c r="CD18" s="1">
        <f>CD4/'biomass Atlantis'!BS5</f>
        <v>5.3737144492167559E-4</v>
      </c>
      <c r="CE18" s="1">
        <f>CE4/'biomass Atlantis'!BT5</f>
        <v>5.2617990613869152E-4</v>
      </c>
      <c r="CF18" s="1">
        <f>CF4/'biomass Atlantis'!BU5</f>
        <v>5.1820051845287061E-4</v>
      </c>
      <c r="CG18" s="1">
        <f>CG4/'biomass Atlantis'!BV5</f>
        <v>5.1567415553601358E-4</v>
      </c>
    </row>
    <row r="19" spans="1:85">
      <c r="A19" s="8">
        <v>1979</v>
      </c>
      <c r="B19">
        <v>1279.3765860000001</v>
      </c>
      <c r="C19">
        <v>7586.0497839999998</v>
      </c>
      <c r="D19">
        <v>4321.4725479999997</v>
      </c>
      <c r="E19">
        <v>25190.937774000002</v>
      </c>
      <c r="F19">
        <v>5567.9783319999997</v>
      </c>
      <c r="G19">
        <v>10287.110124000001</v>
      </c>
      <c r="H19">
        <v>6185.0026870000002</v>
      </c>
      <c r="I19">
        <v>449.68301600000001</v>
      </c>
      <c r="J19">
        <v>26987.998463</v>
      </c>
      <c r="K19">
        <v>1969.4736789999999</v>
      </c>
      <c r="M19">
        <f>B19*$N$1/'biomass Atlantis'!M19</f>
        <v>1.9862637645482119E-3</v>
      </c>
      <c r="N19">
        <f>C19*$N$1/'biomass Atlantis'!N19</f>
        <v>3.5941352400752335E-4</v>
      </c>
      <c r="O19">
        <f>D19*$N$1/'biomass Atlantis'!O19</f>
        <v>4.1406155876959087E-3</v>
      </c>
      <c r="P19">
        <f>E19*$N$1/'biomass Atlantis'!P19</f>
        <v>1.1205125276378699E-2</v>
      </c>
      <c r="Q19">
        <f>F19*$N$1/'biomass Atlantis'!Q19</f>
        <v>2.7743753362194246E-3</v>
      </c>
      <c r="R19">
        <f>G19*$N$1/'biomass Atlantis'!R19</f>
        <v>6.2003029512041063E-3</v>
      </c>
      <c r="S19">
        <f>H19*$N$1/'biomass Atlantis'!S19</f>
        <v>1.4929028717732483E-2</v>
      </c>
      <c r="T19">
        <f>I19*$N$1/'biomass Atlantis'!T19</f>
        <v>4.2567730531554418E-4</v>
      </c>
      <c r="U19">
        <f>J19*$N$1/'biomass Atlantis'!U19</f>
        <v>8.5487755981333804E-2</v>
      </c>
      <c r="V19">
        <f>K19*$N$1/'biomass Atlantis'!V19</f>
        <v>9.5384714768504883E-4</v>
      </c>
      <c r="X19">
        <f t="shared" si="1"/>
        <v>1279.3765860000001</v>
      </c>
      <c r="Y19">
        <f t="shared" si="2"/>
        <v>7586.0497839999998</v>
      </c>
      <c r="Z19">
        <f t="shared" si="3"/>
        <v>4321.4725479999997</v>
      </c>
      <c r="AA19">
        <f t="shared" si="4"/>
        <v>25190.937774000002</v>
      </c>
      <c r="AB19">
        <f t="shared" si="5"/>
        <v>5567.9783319999997</v>
      </c>
      <c r="AC19">
        <f t="shared" si="6"/>
        <v>10287.110124000001</v>
      </c>
      <c r="AD19">
        <f t="shared" si="7"/>
        <v>6185.0026870000002</v>
      </c>
      <c r="AE19">
        <f t="shared" si="8"/>
        <v>449.68301600000001</v>
      </c>
      <c r="AF19">
        <f t="shared" si="9"/>
        <v>26987.998463</v>
      </c>
      <c r="AG19">
        <f t="shared" si="10"/>
        <v>1969.4736789999999</v>
      </c>
      <c r="AI19" s="1">
        <f>AI5/'biomass Atlantis'!X6</f>
        <v>4.2677770769585226E-2</v>
      </c>
      <c r="AJ19" s="1">
        <f>AJ5/'biomass Atlantis'!Y6</f>
        <v>4.9073692309338196E-2</v>
      </c>
      <c r="AK19" s="1">
        <f>AK5/'biomass Atlantis'!Z6</f>
        <v>5.8389853082770823E-2</v>
      </c>
      <c r="AL19" s="1">
        <f>AL5/'biomass Atlantis'!AA6</f>
        <v>7.2331422193596562E-2</v>
      </c>
      <c r="AM19" s="1">
        <f>AM5/'biomass Atlantis'!AB6</f>
        <v>9.2254654349277987E-2</v>
      </c>
      <c r="AN19" s="1">
        <f>AN5/'biomass Atlantis'!AC6</f>
        <v>0.11707105580576431</v>
      </c>
      <c r="AO19" s="1">
        <f>AO5/'biomass Atlantis'!AD6</f>
        <v>0.14865529860599683</v>
      </c>
      <c r="AP19" s="1">
        <f>AP5/'biomass Atlantis'!AE6</f>
        <v>0.17554635624622317</v>
      </c>
      <c r="AQ19" s="1">
        <f>AQ5/'biomass Atlantis'!AF6</f>
        <v>0.21606662816214645</v>
      </c>
      <c r="AR19" s="1">
        <f>AR5/'biomass Atlantis'!AG6</f>
        <v>0.2461140634817966</v>
      </c>
      <c r="AS19" s="1">
        <f>AS5/'biomass Atlantis'!AH6</f>
        <v>0.25895943631995655</v>
      </c>
      <c r="AT19" s="1">
        <f>AT5/'biomass Atlantis'!AI6</f>
        <v>0.23510895589819825</v>
      </c>
      <c r="AU19" s="1">
        <f>AU5/'biomass Atlantis'!AJ6</f>
        <v>0.29133715221708578</v>
      </c>
      <c r="AV19" s="1">
        <f>AV5/'biomass Atlantis'!AK6</f>
        <v>0.33951330135904784</v>
      </c>
      <c r="AW19" s="1">
        <f>AW5/'biomass Atlantis'!AL6</f>
        <v>3.8686187787776629E-3</v>
      </c>
      <c r="AX19" s="1">
        <f>AX5/'biomass Atlantis'!AM6</f>
        <v>4.1406155876959087E-3</v>
      </c>
      <c r="AY19" s="1">
        <f>AY5/'biomass Atlantis'!AN6</f>
        <v>4.9146689407723234E-3</v>
      </c>
      <c r="AZ19" s="1">
        <f>AZ5/'biomass Atlantis'!AO6</f>
        <v>5.2649325937980437E-3</v>
      </c>
      <c r="BA19" s="1">
        <f>BA5/'biomass Atlantis'!AP6</f>
        <v>5.0900164589348373E-3</v>
      </c>
      <c r="BB19" s="1">
        <f>BB5/'biomass Atlantis'!AQ6</f>
        <v>3.9564331605506367E-3</v>
      </c>
      <c r="BC19" s="1">
        <f>BC5/'biomass Atlantis'!AR6</f>
        <v>4.9506820521414913E-3</v>
      </c>
      <c r="BD19" s="1">
        <f>BD5/'biomass Atlantis'!AS6</f>
        <v>5.805560830644995E-3</v>
      </c>
      <c r="BE19" s="1">
        <f>BE5/'biomass Atlantis'!AT6</f>
        <v>6.9504865457626084E-3</v>
      </c>
      <c r="BF19" s="1">
        <f>BF5/'biomass Atlantis'!AU6</f>
        <v>8.4422405061303028E-3</v>
      </c>
      <c r="BG19" s="1">
        <f>BG5/'biomass Atlantis'!AV6</f>
        <v>9.4288916767030113E-3</v>
      </c>
      <c r="BH19" s="1">
        <f>BH5/'biomass Atlantis'!AW6</f>
        <v>1.0479230347267885E-2</v>
      </c>
      <c r="BI19" s="1">
        <f>BI5/'biomass Atlantis'!AX6</f>
        <v>1.0153209729999295E-2</v>
      </c>
      <c r="BJ19" s="1">
        <f>BJ5/'biomass Atlantis'!AY6</f>
        <v>9.6546150363939678E-3</v>
      </c>
      <c r="BK19" s="1">
        <f>BK5/'biomass Atlantis'!AZ6</f>
        <v>1.0787492890859229E-2</v>
      </c>
      <c r="BL19" s="1">
        <f>BL5/'biomass Atlantis'!BA6</f>
        <v>1.0068672081646933E-2</v>
      </c>
      <c r="BM19" s="1">
        <f>BM5/'biomass Atlantis'!BB6</f>
        <v>8.2954765787864853E-3</v>
      </c>
      <c r="BN19" s="1">
        <f>BN5/'biomass Atlantis'!BC6</f>
        <v>1.0408843239488147E-2</v>
      </c>
      <c r="BO19" s="1">
        <f>BO5/'biomass Atlantis'!BD6</f>
        <v>1.4118768519339653E-2</v>
      </c>
      <c r="BP19" s="1">
        <f>BP5/'biomass Atlantis'!BE6</f>
        <v>1.2469694013380762E-2</v>
      </c>
      <c r="BQ19" s="1">
        <f>BQ5/'biomass Atlantis'!BF6</f>
        <v>1.9087355331190093E-2</v>
      </c>
      <c r="BR19" s="1">
        <f>BR5/'biomass Atlantis'!BG6</f>
        <v>2.1504605512979856E-2</v>
      </c>
      <c r="BS19" s="1">
        <f>BS5/'biomass Atlantis'!BH6</f>
        <v>2.6730033100473265E-2</v>
      </c>
      <c r="BT19" s="1">
        <f>BT5/'biomass Atlantis'!BI6</f>
        <v>2.2665992195797759E-2</v>
      </c>
      <c r="BU19" s="1">
        <f>BU5/'biomass Atlantis'!BJ6</f>
        <v>3.1832972703881454E-2</v>
      </c>
      <c r="BV19" s="1">
        <f>BV5/'biomass Atlantis'!BK6</f>
        <v>3.7539979455574995E-2</v>
      </c>
      <c r="BW19" s="1">
        <f>BW5/'biomass Atlantis'!BL6</f>
        <v>2.8154128220049215E-2</v>
      </c>
      <c r="BX19" s="1">
        <f>BX5/'biomass Atlantis'!BM6</f>
        <v>3.9846366099825607E-2</v>
      </c>
      <c r="BY19" s="1">
        <f>BY5/'biomass Atlantis'!BN6</f>
        <v>5.3685234089478992E-2</v>
      </c>
      <c r="BZ19" s="1">
        <f>BZ5/'biomass Atlantis'!BO6</f>
        <v>6.4433459719777555E-2</v>
      </c>
      <c r="CA19" s="1">
        <f>CA5/'biomass Atlantis'!BP6</f>
        <v>5.9136827606730787E-2</v>
      </c>
      <c r="CB19" s="1">
        <f>CB5/'biomass Atlantis'!BQ6</f>
        <v>7.1552015517602804E-2</v>
      </c>
      <c r="CC19" s="1">
        <f>CC5/'biomass Atlantis'!BR6</f>
        <v>6.937480770214291E-2</v>
      </c>
      <c r="CD19" s="1">
        <f>CD5/'biomass Atlantis'!BS6</f>
        <v>5.7737663219846358E-2</v>
      </c>
      <c r="CE19" s="1">
        <f>CE5/'biomass Atlantis'!BT6</f>
        <v>7.0963378220050874E-2</v>
      </c>
      <c r="CF19" s="1">
        <f>CF5/'biomass Atlantis'!BU6</f>
        <v>6.7508655026371225E-2</v>
      </c>
      <c r="CG19" s="1">
        <f>CG5/'biomass Atlantis'!BV6</f>
        <v>6.7040694910035198E-2</v>
      </c>
    </row>
    <row r="20" spans="1:85">
      <c r="A20" s="8">
        <v>1980</v>
      </c>
      <c r="B20">
        <v>1446.390128</v>
      </c>
      <c r="C20">
        <v>8037.6785730000001</v>
      </c>
      <c r="D20">
        <v>6650.0763699999998</v>
      </c>
      <c r="E20">
        <v>24582.747651999998</v>
      </c>
      <c r="F20">
        <v>5208.6910470000003</v>
      </c>
      <c r="G20">
        <v>10230.988022</v>
      </c>
      <c r="H20">
        <v>5822.9551199999996</v>
      </c>
      <c r="I20">
        <v>646.80250999999998</v>
      </c>
      <c r="J20">
        <v>27141.828319</v>
      </c>
      <c r="K20">
        <v>2034.7241289999999</v>
      </c>
      <c r="M20">
        <f>B20*$N$1/'biomass Atlantis'!M20</f>
        <v>2.1102706256693228E-3</v>
      </c>
      <c r="N20">
        <f>C20*$N$1/'biomass Atlantis'!N20</f>
        <v>4.0690076028799556E-4</v>
      </c>
      <c r="O20">
        <f>D20*$N$1/'biomass Atlantis'!O20</f>
        <v>4.9146689407723234E-3</v>
      </c>
      <c r="P20">
        <f>E20*$N$1/'biomass Atlantis'!P20</f>
        <v>1.1838995237238302E-2</v>
      </c>
      <c r="Q20">
        <f>F20*$N$1/'biomass Atlantis'!Q20</f>
        <v>2.8280136330421702E-3</v>
      </c>
      <c r="R20">
        <f>G20*$N$1/'biomass Atlantis'!R20</f>
        <v>6.8214032140285165E-3</v>
      </c>
      <c r="S20">
        <f>H20*$N$1/'biomass Atlantis'!S20</f>
        <v>1.5418589382108206E-2</v>
      </c>
      <c r="T20">
        <f>I20*$N$1/'biomass Atlantis'!T20</f>
        <v>6.4538867705803344E-4</v>
      </c>
      <c r="U20">
        <f>J20*$N$1/'biomass Atlantis'!U20</f>
        <v>9.1192337849484037E-2</v>
      </c>
      <c r="V20">
        <f>K20*$N$1/'biomass Atlantis'!V20</f>
        <v>1.0555956434159055E-3</v>
      </c>
      <c r="X20">
        <f t="shared" si="1"/>
        <v>1446.390128</v>
      </c>
      <c r="Y20">
        <f t="shared" si="2"/>
        <v>8037.6785730000001</v>
      </c>
      <c r="Z20">
        <f t="shared" si="3"/>
        <v>6650.0763699999998</v>
      </c>
      <c r="AA20">
        <f t="shared" si="4"/>
        <v>24582.747651999998</v>
      </c>
      <c r="AB20">
        <f t="shared" si="5"/>
        <v>5208.6910470000003</v>
      </c>
      <c r="AC20">
        <f t="shared" si="6"/>
        <v>10230.988022</v>
      </c>
      <c r="AD20">
        <f t="shared" si="7"/>
        <v>5822.9551199999996</v>
      </c>
      <c r="AE20">
        <f t="shared" si="8"/>
        <v>646.80250999999998</v>
      </c>
      <c r="AF20">
        <f t="shared" si="9"/>
        <v>27141.828319</v>
      </c>
      <c r="AG20">
        <f t="shared" si="10"/>
        <v>2034.7241289999999</v>
      </c>
      <c r="AI20" s="1">
        <f>AI6/'biomass Atlantis'!X7</f>
        <v>6.5777647547297499E-3</v>
      </c>
      <c r="AJ20" s="1">
        <f>AJ6/'biomass Atlantis'!Y7</f>
        <v>6.6122010980483852E-3</v>
      </c>
      <c r="AK20" s="1">
        <f>AK6/'biomass Atlantis'!Z7</f>
        <v>5.7345939503051337E-3</v>
      </c>
      <c r="AL20" s="1">
        <f>AL6/'biomass Atlantis'!AA7</f>
        <v>5.1429590528932921E-3</v>
      </c>
      <c r="AM20" s="1">
        <f>AM6/'biomass Atlantis'!AB7</f>
        <v>4.9172579561558042E-3</v>
      </c>
      <c r="AN20" s="1">
        <f>AN6/'biomass Atlantis'!AC7</f>
        <v>5.4776773558353068E-3</v>
      </c>
      <c r="AO20" s="1">
        <f>AO6/'biomass Atlantis'!AD7</f>
        <v>6.2326015137322884E-3</v>
      </c>
      <c r="AP20" s="1">
        <f>AP6/'biomass Atlantis'!AE7</f>
        <v>6.6440603660028619E-3</v>
      </c>
      <c r="AQ20" s="1">
        <f>AQ6/'biomass Atlantis'!AF7</f>
        <v>7.1128442384671767E-3</v>
      </c>
      <c r="AR20" s="1">
        <f>AR6/'biomass Atlantis'!AG7</f>
        <v>7.6026795136011818E-3</v>
      </c>
      <c r="AS20" s="1">
        <f>AS6/'biomass Atlantis'!AH7</f>
        <v>8.0076303248027923E-3</v>
      </c>
      <c r="AT20" s="1">
        <f>AT6/'biomass Atlantis'!AI7</f>
        <v>8.4176085380506648E-3</v>
      </c>
      <c r="AU20" s="1">
        <f>AU6/'biomass Atlantis'!AJ7</f>
        <v>9.0312174130081739E-3</v>
      </c>
      <c r="AV20" s="1">
        <f>AV6/'biomass Atlantis'!AK7</f>
        <v>9.6228935796456253E-3</v>
      </c>
      <c r="AW20" s="1">
        <f>AW6/'biomass Atlantis'!AL7</f>
        <v>1.0346615290428686E-2</v>
      </c>
      <c r="AX20" s="1">
        <f>AX6/'biomass Atlantis'!AM7</f>
        <v>1.1205125276378699E-2</v>
      </c>
      <c r="AY20" s="1">
        <f>AY6/'biomass Atlantis'!AN7</f>
        <v>1.1838995237238302E-2</v>
      </c>
      <c r="AZ20" s="1">
        <f>AZ6/'biomass Atlantis'!AO7</f>
        <v>1.2115972555981106E-2</v>
      </c>
      <c r="BA20" s="1">
        <f>BA6/'biomass Atlantis'!AP7</f>
        <v>1.2310999261048559E-2</v>
      </c>
      <c r="BB20" s="1">
        <f>BB6/'biomass Atlantis'!AQ7</f>
        <v>1.241900910355731E-2</v>
      </c>
      <c r="BC20" s="1">
        <f>BC6/'biomass Atlantis'!AR7</f>
        <v>1.2645285140920035E-2</v>
      </c>
      <c r="BD20" s="1">
        <f>BD6/'biomass Atlantis'!AS7</f>
        <v>1.2883443875581334E-2</v>
      </c>
      <c r="BE20" s="1">
        <f>BE6/'biomass Atlantis'!AT7</f>
        <v>1.3228279042895676E-2</v>
      </c>
      <c r="BF20" s="1">
        <f>BF6/'biomass Atlantis'!AU7</f>
        <v>1.370333168265378E-2</v>
      </c>
      <c r="BG20" s="1">
        <f>BG6/'biomass Atlantis'!AV7</f>
        <v>1.4378106743084559E-2</v>
      </c>
      <c r="BH20" s="1">
        <f>BH6/'biomass Atlantis'!AW7</f>
        <v>1.4716826906831272E-2</v>
      </c>
      <c r="BI20" s="1">
        <f>BI6/'biomass Atlantis'!AX7</f>
        <v>1.4039412617604498E-2</v>
      </c>
      <c r="BJ20" s="1">
        <f>BJ6/'biomass Atlantis'!AY7</f>
        <v>1.3578980113024056E-2</v>
      </c>
      <c r="BK20" s="1">
        <f>BK6/'biomass Atlantis'!AZ7</f>
        <v>1.3581756679119867E-2</v>
      </c>
      <c r="BL20" s="1">
        <f>BL6/'biomass Atlantis'!BA7</f>
        <v>1.340181351836282E-2</v>
      </c>
      <c r="BM20" s="1">
        <f>BM6/'biomass Atlantis'!BB7</f>
        <v>1.3421413397978624E-2</v>
      </c>
      <c r="BN20" s="1">
        <f>BN6/'biomass Atlantis'!BC7</f>
        <v>1.3493199246171097E-2</v>
      </c>
      <c r="BO20" s="1">
        <f>BO6/'biomass Atlantis'!BD7</f>
        <v>1.360221707523891E-2</v>
      </c>
      <c r="BP20" s="1">
        <f>BP6/'biomass Atlantis'!BE7</f>
        <v>1.3664606265844996E-2</v>
      </c>
      <c r="BQ20" s="1">
        <f>BQ6/'biomass Atlantis'!BF7</f>
        <v>1.3739478899015682E-2</v>
      </c>
      <c r="BR20" s="1">
        <f>BR6/'biomass Atlantis'!BG7</f>
        <v>1.3455998440327925E-2</v>
      </c>
      <c r="BS20" s="1">
        <f>BS6/'biomass Atlantis'!BH7</f>
        <v>1.3064464932504271E-2</v>
      </c>
      <c r="BT20" s="1">
        <f>BT6/'biomass Atlantis'!BI7</f>
        <v>1.2629888867650594E-2</v>
      </c>
      <c r="BU20" s="1">
        <f>BU6/'biomass Atlantis'!BJ7</f>
        <v>1.2245595432103492E-2</v>
      </c>
      <c r="BV20" s="1">
        <f>BV6/'biomass Atlantis'!BK7</f>
        <v>1.1882653116220727E-2</v>
      </c>
      <c r="BW20" s="1">
        <f>BW6/'biomass Atlantis'!BL7</f>
        <v>1.1814681476559334E-2</v>
      </c>
      <c r="BX20" s="1">
        <f>BX6/'biomass Atlantis'!BM7</f>
        <v>1.1809770240026891E-2</v>
      </c>
      <c r="BY20" s="1">
        <f>BY6/'biomass Atlantis'!BN7</f>
        <v>1.1674357492063914E-2</v>
      </c>
      <c r="BZ20" s="1">
        <f>BZ6/'biomass Atlantis'!BO7</f>
        <v>1.1531029309363115E-2</v>
      </c>
      <c r="CA20" s="1">
        <f>CA6/'biomass Atlantis'!BP7</f>
        <v>1.1322088786149653E-2</v>
      </c>
      <c r="CB20" s="1">
        <f>CB6/'biomass Atlantis'!BQ7</f>
        <v>1.118340884480269E-2</v>
      </c>
      <c r="CC20" s="1">
        <f>CC6/'biomass Atlantis'!BR7</f>
        <v>1.1273548377765548E-2</v>
      </c>
      <c r="CD20" s="1">
        <f>CD6/'biomass Atlantis'!BS7</f>
        <v>1.1364087305312968E-2</v>
      </c>
      <c r="CE20" s="1">
        <f>CE6/'biomass Atlantis'!BT7</f>
        <v>1.1284098219512482E-2</v>
      </c>
      <c r="CF20" s="1">
        <f>CF6/'biomass Atlantis'!BU7</f>
        <v>1.1112573789798174E-2</v>
      </c>
      <c r="CG20" s="1">
        <f>CG6/'biomass Atlantis'!BV7</f>
        <v>1.1089947183912452E-2</v>
      </c>
    </row>
    <row r="21" spans="1:85">
      <c r="A21" s="8">
        <v>1981</v>
      </c>
      <c r="B21">
        <v>1602.7156460000001</v>
      </c>
      <c r="C21">
        <v>8124.4332770000001</v>
      </c>
      <c r="D21">
        <v>8049.6815260000003</v>
      </c>
      <c r="E21">
        <v>23437.804093999999</v>
      </c>
      <c r="F21">
        <v>4948.7461640000001</v>
      </c>
      <c r="G21">
        <v>9559.6184470000007</v>
      </c>
      <c r="H21">
        <v>5876.4909779999998</v>
      </c>
      <c r="I21">
        <v>667.07339899999999</v>
      </c>
      <c r="J21">
        <v>27157.319213999999</v>
      </c>
      <c r="K21">
        <v>2053.4407219999998</v>
      </c>
      <c r="M21">
        <f>B21*$N$1/'biomass Atlantis'!M21</f>
        <v>2.2344836344059199E-3</v>
      </c>
      <c r="N21">
        <f>C21*$N$1/'biomass Atlantis'!N21</f>
        <v>4.260662081480542E-4</v>
      </c>
      <c r="O21">
        <f>D21*$N$1/'biomass Atlantis'!O21</f>
        <v>5.2649325937980437E-3</v>
      </c>
      <c r="P21">
        <f>E21*$N$1/'biomass Atlantis'!P21</f>
        <v>1.2115972555981106E-2</v>
      </c>
      <c r="Q21">
        <f>F21*$N$1/'biomass Atlantis'!Q21</f>
        <v>2.9354687772931336E-3</v>
      </c>
      <c r="R21">
        <f>G21*$N$1/'biomass Atlantis'!R21</f>
        <v>7.1522394823163582E-3</v>
      </c>
      <c r="S21">
        <f>H21*$N$1/'biomass Atlantis'!S21</f>
        <v>1.8247088485775175E-2</v>
      </c>
      <c r="T21">
        <f>I21*$N$1/'biomass Atlantis'!T21</f>
        <v>7.3676672819555651E-4</v>
      </c>
      <c r="U21">
        <f>J21*$N$1/'biomass Atlantis'!U21</f>
        <v>9.6764620985029942E-2</v>
      </c>
      <c r="V21">
        <f>K21*$N$1/'biomass Atlantis'!V21</f>
        <v>1.1507511975996959E-3</v>
      </c>
      <c r="X21">
        <f t="shared" si="1"/>
        <v>1602.7156460000001</v>
      </c>
      <c r="Y21">
        <f t="shared" si="2"/>
        <v>8124.4332770000001</v>
      </c>
      <c r="Z21">
        <f t="shared" si="3"/>
        <v>8049.6815260000003</v>
      </c>
      <c r="AA21">
        <f t="shared" si="4"/>
        <v>23437.804093999999</v>
      </c>
      <c r="AB21">
        <f t="shared" si="5"/>
        <v>4948.7461640000001</v>
      </c>
      <c r="AC21">
        <f t="shared" si="6"/>
        <v>9559.6184470000007</v>
      </c>
      <c r="AD21">
        <f t="shared" si="7"/>
        <v>5876.4909779999998</v>
      </c>
      <c r="AE21">
        <f t="shared" si="8"/>
        <v>667.07339899999999</v>
      </c>
      <c r="AF21">
        <f t="shared" si="9"/>
        <v>27157.319213999999</v>
      </c>
      <c r="AG21">
        <f t="shared" si="10"/>
        <v>2053.4407219999998</v>
      </c>
      <c r="AI21" s="1">
        <f>AI7/'biomass Atlantis'!X8</f>
        <v>3.6690355965544666E-3</v>
      </c>
      <c r="AJ21" s="1">
        <f>AJ7/'biomass Atlantis'!Y8</f>
        <v>6.7733249088581587E-3</v>
      </c>
      <c r="AK21" s="1">
        <f>AK7/'biomass Atlantis'!Z8</f>
        <v>3.8553030321943835E-3</v>
      </c>
      <c r="AL21" s="1">
        <f>AL7/'biomass Atlantis'!AA8</f>
        <v>2.9168151533543645E-3</v>
      </c>
      <c r="AM21" s="1">
        <f>AM7/'biomass Atlantis'!AB8</f>
        <v>2.4798749394188717E-3</v>
      </c>
      <c r="AN21" s="1">
        <f>AN7/'biomass Atlantis'!AC8</f>
        <v>2.2500687709707968E-3</v>
      </c>
      <c r="AO21" s="1">
        <f>AO7/'biomass Atlantis'!AD8</f>
        <v>2.1329143987852011E-3</v>
      </c>
      <c r="AP21" s="1">
        <f>AP7/'biomass Atlantis'!AE8</f>
        <v>2.0925893059103645E-3</v>
      </c>
      <c r="AQ21" s="1">
        <f>AQ7/'biomass Atlantis'!AF8</f>
        <v>2.0720033524323821E-3</v>
      </c>
      <c r="AR21" s="1">
        <f>AR7/'biomass Atlantis'!AG8</f>
        <v>2.0737764919918668E-3</v>
      </c>
      <c r="AS21" s="1">
        <f>AS7/'biomass Atlantis'!AH8</f>
        <v>2.1112117591225023E-3</v>
      </c>
      <c r="AT21" s="1">
        <f>AT7/'biomass Atlantis'!AI8</f>
        <v>2.1491995611003451E-3</v>
      </c>
      <c r="AU21" s="1">
        <f>AU7/'biomass Atlantis'!AJ8</f>
        <v>2.3276347646331175E-3</v>
      </c>
      <c r="AV21" s="1">
        <f>AV7/'biomass Atlantis'!AK8</f>
        <v>2.4337607802626623E-3</v>
      </c>
      <c r="AW21" s="1">
        <f>AW7/'biomass Atlantis'!AL8</f>
        <v>2.5699434904834424E-3</v>
      </c>
      <c r="AX21" s="1">
        <f>AX7/'biomass Atlantis'!AM8</f>
        <v>2.7743753362194246E-3</v>
      </c>
      <c r="AY21" s="1">
        <f>AY7/'biomass Atlantis'!AN8</f>
        <v>2.8280136330421702E-3</v>
      </c>
      <c r="AZ21" s="1">
        <f>AZ7/'biomass Atlantis'!AO8</f>
        <v>2.9354687772931336E-3</v>
      </c>
      <c r="BA21" s="1">
        <f>BA7/'biomass Atlantis'!AP8</f>
        <v>3.1325505793520724E-3</v>
      </c>
      <c r="BB21" s="1">
        <f>BB7/'biomass Atlantis'!AQ8</f>
        <v>3.3654496888760872E-3</v>
      </c>
      <c r="BC21" s="1">
        <f>BC7/'biomass Atlantis'!AR8</f>
        <v>3.7041988452170579E-3</v>
      </c>
      <c r="BD21" s="1">
        <f>BD7/'biomass Atlantis'!AS8</f>
        <v>3.6671841360533882E-3</v>
      </c>
      <c r="BE21" s="1">
        <f>BE7/'biomass Atlantis'!AT8</f>
        <v>4.0521586949360004E-3</v>
      </c>
      <c r="BF21" s="1">
        <f>BF7/'biomass Atlantis'!AU8</f>
        <v>4.0732913112039408E-3</v>
      </c>
      <c r="BG21" s="1">
        <f>BG7/'biomass Atlantis'!AV8</f>
        <v>4.3999970290055706E-3</v>
      </c>
      <c r="BH21" s="1">
        <f>BH7/'biomass Atlantis'!AW8</f>
        <v>4.6164389037508446E-3</v>
      </c>
      <c r="BI21" s="1">
        <f>BI7/'biomass Atlantis'!AX8</f>
        <v>3.807354886968393E-3</v>
      </c>
      <c r="BJ21" s="1">
        <f>BJ7/'biomass Atlantis'!AY8</f>
        <v>3.4727353805548379E-3</v>
      </c>
      <c r="BK21" s="1">
        <f>BK7/'biomass Atlantis'!AZ8</f>
        <v>3.4695462601978242E-3</v>
      </c>
      <c r="BL21" s="1">
        <f>BL7/'biomass Atlantis'!BA8</f>
        <v>3.6036242150465068E-3</v>
      </c>
      <c r="BM21" s="1">
        <f>BM7/'biomass Atlantis'!BB8</f>
        <v>3.7876837346423491E-3</v>
      </c>
      <c r="BN21" s="1">
        <f>BN7/'biomass Atlantis'!BC8</f>
        <v>3.6650275448103669E-3</v>
      </c>
      <c r="BO21" s="1">
        <f>BO7/'biomass Atlantis'!BD8</f>
        <v>3.7242124079012598E-3</v>
      </c>
      <c r="BP21" s="1">
        <f>BP7/'biomass Atlantis'!BE8</f>
        <v>3.5983546957242228E-3</v>
      </c>
      <c r="BQ21" s="1">
        <f>BQ7/'biomass Atlantis'!BF8</f>
        <v>3.963147188911679E-3</v>
      </c>
      <c r="BR21" s="1">
        <f>BR7/'biomass Atlantis'!BG8</f>
        <v>3.6966804234008534E-3</v>
      </c>
      <c r="BS21" s="1">
        <f>BS7/'biomass Atlantis'!BH8</f>
        <v>3.6466225024691743E-3</v>
      </c>
      <c r="BT21" s="1">
        <f>BT7/'biomass Atlantis'!BI8</f>
        <v>3.1762989606634131E-3</v>
      </c>
      <c r="BU21" s="1">
        <f>BU7/'biomass Atlantis'!BJ8</f>
        <v>3.139798871355663E-3</v>
      </c>
      <c r="BV21" s="1">
        <f>BV7/'biomass Atlantis'!BK8</f>
        <v>2.8724289043236171E-3</v>
      </c>
      <c r="BW21" s="1">
        <f>BW7/'biomass Atlantis'!BL8</f>
        <v>2.8611990807379281E-3</v>
      </c>
      <c r="BX21" s="1">
        <f>BX7/'biomass Atlantis'!BM8</f>
        <v>3.0507889445680883E-3</v>
      </c>
      <c r="BY21" s="1">
        <f>BY7/'biomass Atlantis'!BN8</f>
        <v>2.9540954915160079E-3</v>
      </c>
      <c r="BZ21" s="1">
        <f>BZ7/'biomass Atlantis'!BO8</f>
        <v>2.8881334936057736E-3</v>
      </c>
      <c r="CA21" s="1">
        <f>CA7/'biomass Atlantis'!BP8</f>
        <v>2.8768865095197835E-3</v>
      </c>
      <c r="CB21" s="1">
        <f>CB7/'biomass Atlantis'!BQ8</f>
        <v>2.8179670999375051E-3</v>
      </c>
      <c r="CC21" s="1">
        <f>CC7/'biomass Atlantis'!BR8</f>
        <v>2.7503931626205861E-3</v>
      </c>
      <c r="CD21" s="1">
        <f>CD7/'biomass Atlantis'!BS8</f>
        <v>3.0267025578549172E-3</v>
      </c>
      <c r="CE21" s="1">
        <f>CE7/'biomass Atlantis'!BT8</f>
        <v>2.9795635620243135E-3</v>
      </c>
      <c r="CF21" s="1">
        <f>CF7/'biomass Atlantis'!BU8</f>
        <v>2.7604569924814075E-3</v>
      </c>
      <c r="CG21" s="1">
        <f>CG7/'biomass Atlantis'!BV8</f>
        <v>2.8849114103801517E-3</v>
      </c>
    </row>
    <row r="22" spans="1:85">
      <c r="A22" s="8">
        <v>1982</v>
      </c>
      <c r="B22">
        <v>1706.199087</v>
      </c>
      <c r="C22">
        <v>8341.2514360000005</v>
      </c>
      <c r="D22">
        <v>8463.8784520000008</v>
      </c>
      <c r="E22">
        <v>22278.484569</v>
      </c>
      <c r="F22">
        <v>4759.3331710000002</v>
      </c>
      <c r="G22">
        <v>9188.2845589999997</v>
      </c>
      <c r="H22">
        <v>5498.5131140000003</v>
      </c>
      <c r="I22">
        <v>553.00797899999998</v>
      </c>
      <c r="J22">
        <v>26721.601199000001</v>
      </c>
      <c r="K22">
        <v>2062.0712170000002</v>
      </c>
      <c r="M22">
        <f>B22*$N$1/'biomass Atlantis'!M22</f>
        <v>2.2907835181013294E-3</v>
      </c>
      <c r="N22">
        <f>C22*$N$1/'biomass Atlantis'!N22</f>
        <v>4.548999718974798E-4</v>
      </c>
      <c r="O22">
        <f>D22*$N$1/'biomass Atlantis'!O22</f>
        <v>5.0900164589348373E-3</v>
      </c>
      <c r="P22">
        <f>E22*$N$1/'biomass Atlantis'!P22</f>
        <v>1.2310999261048559E-2</v>
      </c>
      <c r="Q22">
        <f>F22*$N$1/'biomass Atlantis'!Q22</f>
        <v>3.1325505793520724E-3</v>
      </c>
      <c r="R22">
        <f>G22*$N$1/'biomass Atlantis'!R22</f>
        <v>7.5302859184162036E-3</v>
      </c>
      <c r="S22">
        <f>H22*$N$1/'biomass Atlantis'!S22</f>
        <v>1.812129070451584E-2</v>
      </c>
      <c r="T22">
        <f>I22*$N$1/'biomass Atlantis'!T22</f>
        <v>5.0297073503759952E-4</v>
      </c>
      <c r="U22">
        <f>J22*$N$1/'biomass Atlantis'!U22</f>
        <v>0.10108277799318716</v>
      </c>
      <c r="V22">
        <f>K22*$N$1/'biomass Atlantis'!V22</f>
        <v>1.2594647272839885E-3</v>
      </c>
      <c r="X22">
        <f t="shared" si="1"/>
        <v>1706.199087</v>
      </c>
      <c r="Y22">
        <f t="shared" si="2"/>
        <v>8341.2514360000005</v>
      </c>
      <c r="Z22">
        <f t="shared" si="3"/>
        <v>8463.8784520000008</v>
      </c>
      <c r="AA22">
        <f t="shared" si="4"/>
        <v>22278.484569</v>
      </c>
      <c r="AB22">
        <f t="shared" si="5"/>
        <v>4759.3331710000002</v>
      </c>
      <c r="AC22">
        <f t="shared" si="6"/>
        <v>9188.2845589999997</v>
      </c>
      <c r="AD22">
        <f t="shared" si="7"/>
        <v>5498.5131140000003</v>
      </c>
      <c r="AE22">
        <f t="shared" si="8"/>
        <v>553.00797899999998</v>
      </c>
      <c r="AF22">
        <f t="shared" si="9"/>
        <v>26721.601199000001</v>
      </c>
      <c r="AG22">
        <f t="shared" si="10"/>
        <v>2062.0712170000002</v>
      </c>
      <c r="AI22" s="1">
        <f>AI8/'biomass Atlantis'!X9</f>
        <v>3.3362924837119965E-3</v>
      </c>
      <c r="AJ22" s="1">
        <f>AJ8/'biomass Atlantis'!Y9</f>
        <v>4.5936725281048576E-3</v>
      </c>
      <c r="AK22" s="1">
        <f>AK8/'biomass Atlantis'!Z9</f>
        <v>3.1252452604500834E-3</v>
      </c>
      <c r="AL22" s="1">
        <f>AL8/'biomass Atlantis'!AA9</f>
        <v>3.0435325149820031E-3</v>
      </c>
      <c r="AM22" s="1">
        <f>AM8/'biomass Atlantis'!AB9</f>
        <v>3.0695494395131221E-3</v>
      </c>
      <c r="AN22" s="1">
        <f>AN8/'biomass Atlantis'!AC9</f>
        <v>3.0838685920997512E-3</v>
      </c>
      <c r="AO22" s="1">
        <f>AO8/'biomass Atlantis'!AD9</f>
        <v>3.249279178015214E-3</v>
      </c>
      <c r="AP22" s="1">
        <f>AP8/'biomass Atlantis'!AE9</f>
        <v>3.4514838236130558E-3</v>
      </c>
      <c r="AQ22" s="1">
        <f>AQ8/'biomass Atlantis'!AF9</f>
        <v>3.714951826338601E-3</v>
      </c>
      <c r="AR22" s="1">
        <f>AR8/'biomass Atlantis'!AG9</f>
        <v>3.9640328503259712E-3</v>
      </c>
      <c r="AS22" s="1">
        <f>AS8/'biomass Atlantis'!AH9</f>
        <v>4.3135858978851352E-3</v>
      </c>
      <c r="AT22" s="1">
        <f>AT8/'biomass Atlantis'!AI9</f>
        <v>4.6102590079150161E-3</v>
      </c>
      <c r="AU22" s="1">
        <f>AU8/'biomass Atlantis'!AJ9</f>
        <v>4.9075991246377727E-3</v>
      </c>
      <c r="AV22" s="1">
        <f>AV8/'biomass Atlantis'!AK9</f>
        <v>5.1822518405060585E-3</v>
      </c>
      <c r="AW22" s="1">
        <f>AW8/'biomass Atlantis'!AL9</f>
        <v>5.6529359266966851E-3</v>
      </c>
      <c r="AX22" s="1">
        <f>AX8/'biomass Atlantis'!AM9</f>
        <v>6.2003029512041063E-3</v>
      </c>
      <c r="AY22" s="1">
        <f>AY8/'biomass Atlantis'!AN9</f>
        <v>6.8214032140285165E-3</v>
      </c>
      <c r="AZ22" s="1">
        <f>AZ8/'biomass Atlantis'!AO9</f>
        <v>7.1522394823163582E-3</v>
      </c>
      <c r="BA22" s="1">
        <f>BA8/'biomass Atlantis'!AP9</f>
        <v>7.5302859184162036E-3</v>
      </c>
      <c r="BB22" s="1">
        <f>BB8/'biomass Atlantis'!AQ9</f>
        <v>8.1718555215658725E-3</v>
      </c>
      <c r="BC22" s="1">
        <f>BC8/'biomass Atlantis'!AR9</f>
        <v>8.6500216739799178E-3</v>
      </c>
      <c r="BD22" s="1">
        <f>BD8/'biomass Atlantis'!AS9</f>
        <v>9.3275437914886739E-3</v>
      </c>
      <c r="BE22" s="1">
        <f>BE8/'biomass Atlantis'!AT9</f>
        <v>9.5717336420930287E-3</v>
      </c>
      <c r="BF22" s="1">
        <f>BF8/'biomass Atlantis'!AU9</f>
        <v>1.0177097457031556E-2</v>
      </c>
      <c r="BG22" s="1">
        <f>BG8/'biomass Atlantis'!AV9</f>
        <v>1.0405068829109717E-2</v>
      </c>
      <c r="BH22" s="1">
        <f>BH8/'biomass Atlantis'!AW9</f>
        <v>1.0595886150464829E-2</v>
      </c>
      <c r="BI22" s="1">
        <f>BI8/'biomass Atlantis'!AX9</f>
        <v>8.3995742003208466E-3</v>
      </c>
      <c r="BJ22" s="1">
        <f>BJ8/'biomass Atlantis'!AY9</f>
        <v>8.2086931235423721E-3</v>
      </c>
      <c r="BK22" s="1">
        <f>BK8/'biomass Atlantis'!AZ9</f>
        <v>9.2968447265177803E-3</v>
      </c>
      <c r="BL22" s="1">
        <f>BL8/'biomass Atlantis'!BA9</f>
        <v>9.6027611039503306E-3</v>
      </c>
      <c r="BM22" s="1">
        <f>BM8/'biomass Atlantis'!BB9</f>
        <v>8.3851980730527687E-3</v>
      </c>
      <c r="BN22" s="1">
        <f>BN8/'biomass Atlantis'!BC9</f>
        <v>8.5678727589366954E-3</v>
      </c>
      <c r="BO22" s="1">
        <f>BO8/'biomass Atlantis'!BD9</f>
        <v>1.0059198628300035E-2</v>
      </c>
      <c r="BP22" s="1">
        <f>BP8/'biomass Atlantis'!BE9</f>
        <v>9.2361461608706161E-3</v>
      </c>
      <c r="BQ22" s="1">
        <f>BQ8/'biomass Atlantis'!BF9</f>
        <v>9.0116062417781827E-3</v>
      </c>
      <c r="BR22" s="1">
        <f>BR8/'biomass Atlantis'!BG9</f>
        <v>9.1647181354224845E-3</v>
      </c>
      <c r="BS22" s="1">
        <f>BS8/'biomass Atlantis'!BH9</f>
        <v>8.209916423897597E-3</v>
      </c>
      <c r="BT22" s="1">
        <f>BT8/'biomass Atlantis'!BI9</f>
        <v>7.9630316097337416E-3</v>
      </c>
      <c r="BU22" s="1">
        <f>BU8/'biomass Atlantis'!BJ9</f>
        <v>7.6478443040678273E-3</v>
      </c>
      <c r="BV22" s="1">
        <f>BV8/'biomass Atlantis'!BK9</f>
        <v>7.528881029754012E-3</v>
      </c>
      <c r="BW22" s="1">
        <f>BW8/'biomass Atlantis'!BL9</f>
        <v>8.2089726009471758E-3</v>
      </c>
      <c r="BX22" s="1">
        <f>BX8/'biomass Atlantis'!BM9</f>
        <v>8.4847224725144964E-3</v>
      </c>
      <c r="BY22" s="1">
        <f>BY8/'biomass Atlantis'!BN9</f>
        <v>8.2998654153640869E-3</v>
      </c>
      <c r="BZ22" s="1">
        <f>BZ8/'biomass Atlantis'!BO9</f>
        <v>8.0376561550025219E-3</v>
      </c>
      <c r="CA22" s="1">
        <f>CA8/'biomass Atlantis'!BP9</f>
        <v>7.923817409644162E-3</v>
      </c>
      <c r="CB22" s="1">
        <f>CB8/'biomass Atlantis'!BQ9</f>
        <v>7.7570724236208947E-3</v>
      </c>
      <c r="CC22" s="1">
        <f>CC8/'biomass Atlantis'!BR9</f>
        <v>7.6289378090486498E-3</v>
      </c>
      <c r="CD22" s="1">
        <f>CD8/'biomass Atlantis'!BS9</f>
        <v>7.8418961382056198E-3</v>
      </c>
      <c r="CE22" s="1">
        <f>CE8/'biomass Atlantis'!BT9</f>
        <v>7.7391801562610215E-3</v>
      </c>
      <c r="CF22" s="1">
        <f>CF8/'biomass Atlantis'!BU9</f>
        <v>7.5077152292996772E-3</v>
      </c>
      <c r="CG22" s="1">
        <f>CG8/'biomass Atlantis'!BV9</f>
        <v>7.7034857634918135E-3</v>
      </c>
    </row>
    <row r="23" spans="1:85">
      <c r="A23" s="8">
        <v>1983</v>
      </c>
      <c r="B23">
        <v>1799.8478769999999</v>
      </c>
      <c r="C23">
        <v>8465.6323090000005</v>
      </c>
      <c r="D23">
        <v>8581.1140969999997</v>
      </c>
      <c r="E23">
        <v>20894.028245000001</v>
      </c>
      <c r="F23">
        <v>4530.1182490000001</v>
      </c>
      <c r="G23">
        <v>8983.1307479999996</v>
      </c>
      <c r="H23">
        <v>5292.321175</v>
      </c>
      <c r="I23">
        <v>700.544535</v>
      </c>
      <c r="J23">
        <v>27053.984694999999</v>
      </c>
      <c r="K23">
        <v>2055.981147</v>
      </c>
      <c r="M23">
        <f>B23*$N$1/'biomass Atlantis'!M23</f>
        <v>2.3457824573422967E-3</v>
      </c>
      <c r="N23">
        <f>C23*$N$1/'biomass Atlantis'!N23</f>
        <v>4.9955772143993728E-4</v>
      </c>
      <c r="O23">
        <f>D23*$N$1/'biomass Atlantis'!O23</f>
        <v>3.9564331605506367E-3</v>
      </c>
      <c r="P23">
        <f>E23*$N$1/'biomass Atlantis'!P23</f>
        <v>1.241900910355731E-2</v>
      </c>
      <c r="Q23">
        <f>F23*$N$1/'biomass Atlantis'!Q23</f>
        <v>3.3654496888760872E-3</v>
      </c>
      <c r="R23">
        <f>G23*$N$1/'biomass Atlantis'!R23</f>
        <v>8.1718555215658725E-3</v>
      </c>
      <c r="S23">
        <f>H23*$N$1/'biomass Atlantis'!S23</f>
        <v>1.7885639875259443E-2</v>
      </c>
      <c r="T23">
        <f>I23*$N$1/'biomass Atlantis'!T23</f>
        <v>3.5550916292406281E-4</v>
      </c>
      <c r="U23">
        <f>J23*$N$1/'biomass Atlantis'!U23</f>
        <v>0.10831670018237657</v>
      </c>
      <c r="V23">
        <f>K23*$N$1/'biomass Atlantis'!V23</f>
        <v>1.3667155578422497E-3</v>
      </c>
      <c r="X23">
        <f t="shared" si="1"/>
        <v>1799.8478769999999</v>
      </c>
      <c r="Y23">
        <f t="shared" si="2"/>
        <v>8465.6323090000005</v>
      </c>
      <c r="Z23">
        <f t="shared" si="3"/>
        <v>8581.1140969999997</v>
      </c>
      <c r="AA23">
        <f t="shared" si="4"/>
        <v>20894.028245000001</v>
      </c>
      <c r="AB23">
        <f t="shared" si="5"/>
        <v>4530.1182490000001</v>
      </c>
      <c r="AC23">
        <f t="shared" si="6"/>
        <v>8983.1307479999996</v>
      </c>
      <c r="AD23">
        <f t="shared" si="7"/>
        <v>5292.321175</v>
      </c>
      <c r="AE23">
        <f t="shared" si="8"/>
        <v>700.544535</v>
      </c>
      <c r="AF23">
        <f t="shared" si="9"/>
        <v>27053.984694999999</v>
      </c>
      <c r="AG23">
        <f t="shared" si="10"/>
        <v>2055.981147</v>
      </c>
      <c r="AI23" s="1">
        <f>AI9/'biomass Atlantis'!X10</f>
        <v>1.8877226589120565E-2</v>
      </c>
      <c r="AJ23" s="1">
        <f>AJ9/'biomass Atlantis'!Y10</f>
        <v>1.8097565375191922E-2</v>
      </c>
      <c r="AK23" s="1">
        <f>AK9/'biomass Atlantis'!Z10</f>
        <v>1.3006866050924059E-2</v>
      </c>
      <c r="AL23" s="1">
        <f>AL9/'biomass Atlantis'!AA10</f>
        <v>1.0690376249505548E-2</v>
      </c>
      <c r="AM23" s="1">
        <f>AM9/'biomass Atlantis'!AB10</f>
        <v>9.9455605468388164E-3</v>
      </c>
      <c r="AN23" s="1">
        <f>AN9/'biomass Atlantis'!AC10</f>
        <v>9.3597346783280549E-3</v>
      </c>
      <c r="AO23" s="1">
        <f>AO9/'biomass Atlantis'!AD10</f>
        <v>9.7683351114916626E-3</v>
      </c>
      <c r="AP23" s="1">
        <f>AP9/'biomass Atlantis'!AE10</f>
        <v>9.6014563942961074E-3</v>
      </c>
      <c r="AQ23" s="1">
        <f>AQ9/'biomass Atlantis'!AF10</f>
        <v>1.0093430248857683E-2</v>
      </c>
      <c r="AR23" s="1">
        <f>AR9/'biomass Atlantis'!AG10</f>
        <v>1.0461143666473355E-2</v>
      </c>
      <c r="AS23" s="1">
        <f>AS9/'biomass Atlantis'!AH10</f>
        <v>1.0936882091433505E-2</v>
      </c>
      <c r="AT23" s="1">
        <f>AT9/'biomass Atlantis'!AI10</f>
        <v>1.137622312502462E-2</v>
      </c>
      <c r="AU23" s="1">
        <f>AU9/'biomass Atlantis'!AJ10</f>
        <v>1.2339735097720638E-2</v>
      </c>
      <c r="AV23" s="1">
        <f>AV9/'biomass Atlantis'!AK10</f>
        <v>1.3292860893441028E-2</v>
      </c>
      <c r="AW23" s="1">
        <f>AW9/'biomass Atlantis'!AL10</f>
        <v>1.4422865411509901E-2</v>
      </c>
      <c r="AX23" s="1">
        <f>AX9/'biomass Atlantis'!AM10</f>
        <v>1.4929028717732483E-2</v>
      </c>
      <c r="AY23" s="1">
        <f>AY9/'biomass Atlantis'!AN10</f>
        <v>1.5418589382108206E-2</v>
      </c>
      <c r="AZ23" s="1">
        <f>AZ9/'biomass Atlantis'!AO10</f>
        <v>1.8247088485775175E-2</v>
      </c>
      <c r="BA23" s="1">
        <f>BA9/'biomass Atlantis'!AP10</f>
        <v>1.812129070451584E-2</v>
      </c>
      <c r="BB23" s="1">
        <f>BB9/'biomass Atlantis'!AQ10</f>
        <v>1.7885639875259443E-2</v>
      </c>
      <c r="BC23" s="1">
        <f>BC9/'biomass Atlantis'!AR10</f>
        <v>1.9185515968576705E-2</v>
      </c>
      <c r="BD23" s="1">
        <f>BD9/'biomass Atlantis'!AS10</f>
        <v>2.2572350296470294E-2</v>
      </c>
      <c r="BE23" s="1">
        <f>BE9/'biomass Atlantis'!AT10</f>
        <v>2.2936438723212983E-2</v>
      </c>
      <c r="BF23" s="1">
        <f>BF9/'biomass Atlantis'!AU10</f>
        <v>2.2893639590153621E-2</v>
      </c>
      <c r="BG23" s="1">
        <f>BG9/'biomass Atlantis'!AV10</f>
        <v>2.4924773718542174E-2</v>
      </c>
      <c r="BH23" s="1">
        <f>BH9/'biomass Atlantis'!AW10</f>
        <v>2.6896074520073962E-2</v>
      </c>
      <c r="BI23" s="1">
        <f>BI9/'biomass Atlantis'!AX10</f>
        <v>2.2653579197914889E-2</v>
      </c>
      <c r="BJ23" s="1">
        <f>BJ9/'biomass Atlantis'!AY10</f>
        <v>2.1939423835797254E-2</v>
      </c>
      <c r="BK23" s="1">
        <f>BK9/'biomass Atlantis'!AZ10</f>
        <v>2.7470759393850741E-2</v>
      </c>
      <c r="BL23" s="1">
        <f>BL9/'biomass Atlantis'!BA10</f>
        <v>2.493953345647516E-2</v>
      </c>
      <c r="BM23" s="1">
        <f>BM9/'biomass Atlantis'!BB10</f>
        <v>2.5783812009621859E-2</v>
      </c>
      <c r="BN23" s="1">
        <f>BN9/'biomass Atlantis'!BC10</f>
        <v>2.5168422336235986E-2</v>
      </c>
      <c r="BO23" s="1">
        <f>BO9/'biomass Atlantis'!BD10</f>
        <v>2.6211640345252578E-2</v>
      </c>
      <c r="BP23" s="1">
        <f>BP9/'biomass Atlantis'!BE10</f>
        <v>2.1975633655403986E-2</v>
      </c>
      <c r="BQ23" s="1">
        <f>BQ9/'biomass Atlantis'!BF10</f>
        <v>2.6451384178311655E-2</v>
      </c>
      <c r="BR23" s="1">
        <f>BR9/'biomass Atlantis'!BG10</f>
        <v>2.4504226765621969E-2</v>
      </c>
      <c r="BS23" s="1">
        <f>BS9/'biomass Atlantis'!BH10</f>
        <v>2.5799335706489155E-2</v>
      </c>
      <c r="BT23" s="1">
        <f>BT9/'biomass Atlantis'!BI10</f>
        <v>2.3894368819211725E-2</v>
      </c>
      <c r="BU23" s="1">
        <f>BU9/'biomass Atlantis'!BJ10</f>
        <v>2.2233023103215226E-2</v>
      </c>
      <c r="BV23" s="1">
        <f>BV9/'biomass Atlantis'!BK10</f>
        <v>2.1243761763506102E-2</v>
      </c>
      <c r="BW23" s="1">
        <f>BW9/'biomass Atlantis'!BL10</f>
        <v>2.2124744404205168E-2</v>
      </c>
      <c r="BX23" s="1">
        <f>BX9/'biomass Atlantis'!BM10</f>
        <v>1.893072785302588E-2</v>
      </c>
      <c r="BY23" s="1">
        <f>BY9/'biomass Atlantis'!BN10</f>
        <v>2.1112045291152428E-2</v>
      </c>
      <c r="BZ23" s="1">
        <f>BZ9/'biomass Atlantis'!BO10</f>
        <v>2.0381776013568373E-2</v>
      </c>
      <c r="CA23" s="1">
        <f>CA9/'biomass Atlantis'!BP10</f>
        <v>1.9904496153895314E-2</v>
      </c>
      <c r="CB23" s="1">
        <f>CB9/'biomass Atlantis'!BQ10</f>
        <v>2.059068746273901E-2</v>
      </c>
      <c r="CC23" s="1">
        <f>CC9/'biomass Atlantis'!BR10</f>
        <v>1.9498188831673521E-2</v>
      </c>
      <c r="CD23" s="1">
        <f>CD9/'biomass Atlantis'!BS10</f>
        <v>1.9852216611455972E-2</v>
      </c>
      <c r="CE23" s="1">
        <f>CE9/'biomass Atlantis'!BT10</f>
        <v>1.9697289783920543E-2</v>
      </c>
      <c r="CF23" s="1">
        <f>CF9/'biomass Atlantis'!BU10</f>
        <v>1.9389675050524049E-2</v>
      </c>
      <c r="CG23" s="1">
        <f>CG9/'biomass Atlantis'!BV10</f>
        <v>1.8736597137980673E-2</v>
      </c>
    </row>
    <row r="24" spans="1:85">
      <c r="A24" s="8">
        <v>1984</v>
      </c>
      <c r="B24">
        <v>1881.877068</v>
      </c>
      <c r="C24">
        <v>8379.3062430000009</v>
      </c>
      <c r="D24">
        <v>10627.914202</v>
      </c>
      <c r="E24">
        <v>19797.547750000002</v>
      </c>
      <c r="F24">
        <v>4321.5343780000003</v>
      </c>
      <c r="G24">
        <v>8426.924454</v>
      </c>
      <c r="H24">
        <v>5318.595937</v>
      </c>
      <c r="I24">
        <v>1382.4815189999999</v>
      </c>
      <c r="J24">
        <v>26597.966153000001</v>
      </c>
      <c r="K24">
        <v>2052.9207390000001</v>
      </c>
      <c r="M24">
        <f>B24*$N$1/'biomass Atlantis'!M24</f>
        <v>2.3829338739917339E-3</v>
      </c>
      <c r="N24">
        <f>C24*$N$1/'biomass Atlantis'!N24</f>
        <v>5.2092549177841865E-4</v>
      </c>
      <c r="O24">
        <f>D24*$N$1/'biomass Atlantis'!O24</f>
        <v>4.9506820521414913E-3</v>
      </c>
      <c r="P24">
        <f>E24*$N$1/'biomass Atlantis'!P24</f>
        <v>1.2645285140920035E-2</v>
      </c>
      <c r="Q24">
        <f>F24*$N$1/'biomass Atlantis'!Q24</f>
        <v>3.7041988452170579E-3</v>
      </c>
      <c r="R24">
        <f>G24*$N$1/'biomass Atlantis'!R24</f>
        <v>8.6500216739799178E-3</v>
      </c>
      <c r="S24">
        <f>H24*$N$1/'biomass Atlantis'!S24</f>
        <v>1.9185515968576705E-2</v>
      </c>
      <c r="T24">
        <f>I24*$N$1/'biomass Atlantis'!T24</f>
        <v>4.845136821587519E-4</v>
      </c>
      <c r="U24">
        <f>J24*$N$1/'biomass Atlantis'!U24</f>
        <v>0.1134769348348154</v>
      </c>
      <c r="V24">
        <f>K24*$N$1/'biomass Atlantis'!V24</f>
        <v>1.4822673760676352E-3</v>
      </c>
      <c r="X24">
        <f t="shared" si="1"/>
        <v>1881.877068</v>
      </c>
      <c r="Y24">
        <f t="shared" si="2"/>
        <v>8379.3062430000009</v>
      </c>
      <c r="Z24">
        <f t="shared" si="3"/>
        <v>10627.914202</v>
      </c>
      <c r="AA24">
        <f t="shared" si="4"/>
        <v>19797.547750000002</v>
      </c>
      <c r="AB24">
        <f t="shared" si="5"/>
        <v>4321.5343780000003</v>
      </c>
      <c r="AC24">
        <f t="shared" si="6"/>
        <v>8426.924454</v>
      </c>
      <c r="AD24">
        <f t="shared" si="7"/>
        <v>5318.595937</v>
      </c>
      <c r="AE24">
        <f t="shared" si="8"/>
        <v>1382.4815189999999</v>
      </c>
      <c r="AF24">
        <f t="shared" si="9"/>
        <v>26597.966153000001</v>
      </c>
      <c r="AG24">
        <f t="shared" si="10"/>
        <v>2052.9207390000001</v>
      </c>
      <c r="AI24" s="1">
        <f>AI10/'biomass Atlantis'!X11</f>
        <v>4.5287879455670255E-2</v>
      </c>
      <c r="AJ24" s="1">
        <f>AJ10/'biomass Atlantis'!Y11</f>
        <v>3.6379050225096583E-2</v>
      </c>
      <c r="AK24" s="1">
        <f>AK10/'biomass Atlantis'!Z11</f>
        <v>4.3878570929431454E-2</v>
      </c>
      <c r="AL24" s="1">
        <f>AL10/'biomass Atlantis'!AA11</f>
        <v>3.9649938161427735E-2</v>
      </c>
      <c r="AM24" s="1">
        <f>AM10/'biomass Atlantis'!AB11</f>
        <v>4.1095592639853573E-2</v>
      </c>
      <c r="AN24" s="1">
        <f>AN10/'biomass Atlantis'!AC11</f>
        <v>5.6105992343824122E-2</v>
      </c>
      <c r="AO24" s="1">
        <f>AO10/'biomass Atlantis'!AD11</f>
        <v>7.5796511567435346E-2</v>
      </c>
      <c r="AP24" s="1">
        <f>AP10/'biomass Atlantis'!AE11</f>
        <v>7.0912416225381081E-2</v>
      </c>
      <c r="AQ24" s="1">
        <f>AQ10/'biomass Atlantis'!AF11</f>
        <v>7.455776281835795E-2</v>
      </c>
      <c r="AR24" s="1">
        <f>AR10/'biomass Atlantis'!AG11</f>
        <v>8.157557332353195E-2</v>
      </c>
      <c r="AS24" s="1">
        <f>AS10/'biomass Atlantis'!AH11</f>
        <v>8.8241581755227533E-2</v>
      </c>
      <c r="AT24" s="1">
        <f>AT10/'biomass Atlantis'!AI11</f>
        <v>0.14123040600387687</v>
      </c>
      <c r="AU24" s="1">
        <f>AU10/'biomass Atlantis'!AJ11</f>
        <v>0.20292226639110597</v>
      </c>
      <c r="AV24" s="1">
        <f>AV10/'biomass Atlantis'!AK11</f>
        <v>0.18983221553344184</v>
      </c>
      <c r="AW24" s="1">
        <f>AW10/'biomass Atlantis'!AL11</f>
        <v>5.6941824695884338E-4</v>
      </c>
      <c r="AX24" s="1">
        <f>AX10/'biomass Atlantis'!AM11</f>
        <v>4.2567730531554418E-4</v>
      </c>
      <c r="AY24" s="1">
        <f>AY10/'biomass Atlantis'!AN11</f>
        <v>6.4538867705803344E-4</v>
      </c>
      <c r="AZ24" s="1">
        <f>AZ10/'biomass Atlantis'!AO11</f>
        <v>7.3676672819555651E-4</v>
      </c>
      <c r="BA24" s="1">
        <f>BA10/'biomass Atlantis'!AP11</f>
        <v>5.0297073503759952E-4</v>
      </c>
      <c r="BB24" s="1">
        <f>BB10/'biomass Atlantis'!AQ11</f>
        <v>3.5550916292406281E-4</v>
      </c>
      <c r="BC24" s="1">
        <f>BC10/'biomass Atlantis'!AR11</f>
        <v>4.845136821587519E-4</v>
      </c>
      <c r="BD24" s="1">
        <f>BD10/'biomass Atlantis'!AS11</f>
        <v>7.5518626438361833E-4</v>
      </c>
      <c r="BE24" s="1">
        <f>BE10/'biomass Atlantis'!AT11</f>
        <v>5.5518967818160288E-4</v>
      </c>
      <c r="BF24" s="1">
        <f>BF10/'biomass Atlantis'!AU11</f>
        <v>1.2571432660675966E-3</v>
      </c>
      <c r="BG24" s="1">
        <f>BG10/'biomass Atlantis'!AV11</f>
        <v>1.2190638384940446E-3</v>
      </c>
      <c r="BH24" s="1">
        <f>BH10/'biomass Atlantis'!AW11</f>
        <v>1.4040095233291356E-3</v>
      </c>
      <c r="BI24" s="1">
        <f>BI10/'biomass Atlantis'!AX11</f>
        <v>9.1436376961934564E-4</v>
      </c>
      <c r="BJ24" s="1">
        <f>BJ10/'biomass Atlantis'!AY11</f>
        <v>1.414627083349343E-3</v>
      </c>
      <c r="BK24" s="1">
        <f>BK10/'biomass Atlantis'!AZ11</f>
        <v>1.3303335928815604E-3</v>
      </c>
      <c r="BL24" s="1">
        <f>BL10/'biomass Atlantis'!BA11</f>
        <v>7.9045454079262325E-4</v>
      </c>
      <c r="BM24" s="1">
        <f>BM10/'biomass Atlantis'!BB11</f>
        <v>1.5863385155938591E-3</v>
      </c>
      <c r="BN24" s="1">
        <f>BN10/'biomass Atlantis'!BC11</f>
        <v>1.4326155188398089E-3</v>
      </c>
      <c r="BO24" s="1">
        <f>BO10/'biomass Atlantis'!BD11</f>
        <v>1.1968170602652216E-3</v>
      </c>
      <c r="BP24" s="1">
        <f>BP10/'biomass Atlantis'!BE11</f>
        <v>1.5093156228176518E-3</v>
      </c>
      <c r="BQ24" s="1">
        <f>BQ10/'biomass Atlantis'!BF11</f>
        <v>2.8764007718299202E-3</v>
      </c>
      <c r="BR24" s="1">
        <f>BR10/'biomass Atlantis'!BG11</f>
        <v>1.6774179968429149E-3</v>
      </c>
      <c r="BS24" s="1">
        <f>BS10/'biomass Atlantis'!BH11</f>
        <v>3.0006149045982158E-3</v>
      </c>
      <c r="BT24" s="1">
        <f>BT10/'biomass Atlantis'!BI11</f>
        <v>2.7494521621639575E-3</v>
      </c>
      <c r="BU24" s="1">
        <f>BU10/'biomass Atlantis'!BJ11</f>
        <v>4.8785211497223814E-3</v>
      </c>
      <c r="BV24" s="1">
        <f>BV10/'biomass Atlantis'!BK11</f>
        <v>3.6337486161689895E-3</v>
      </c>
      <c r="BW24" s="1">
        <f>BW10/'biomass Atlantis'!BL11</f>
        <v>6.5825416746149333E-3</v>
      </c>
      <c r="BX24" s="1">
        <f>BX10/'biomass Atlantis'!BM11</f>
        <v>4.7052224432321274E-3</v>
      </c>
      <c r="BY24" s="1">
        <f>BY10/'biomass Atlantis'!BN11</f>
        <v>5.6372265883260315E-3</v>
      </c>
      <c r="BZ24" s="1">
        <f>BZ10/'biomass Atlantis'!BO11</f>
        <v>9.9463040544695795E-3</v>
      </c>
      <c r="CA24" s="1">
        <f>CA10/'biomass Atlantis'!BP11</f>
        <v>6.3059507644168383E-3</v>
      </c>
      <c r="CB24" s="1">
        <f>CB10/'biomass Atlantis'!BQ11</f>
        <v>5.9110869484010724E-3</v>
      </c>
      <c r="CC24" s="1">
        <f>CC10/'biomass Atlantis'!BR11</f>
        <v>6.9132197748036596E-3</v>
      </c>
      <c r="CD24" s="1">
        <f>CD10/'biomass Atlantis'!BS11</f>
        <v>6.3710580419820226E-3</v>
      </c>
      <c r="CE24" s="1">
        <f>CE10/'biomass Atlantis'!BT11</f>
        <v>6.7112136921874364E-3</v>
      </c>
      <c r="CF24" s="1">
        <f>CF10/'biomass Atlantis'!BU11</f>
        <v>6.1699661469174494E-3</v>
      </c>
      <c r="CG24" s="1">
        <f>CG10/'biomass Atlantis'!BV11</f>
        <v>9.4654847557395869E-3</v>
      </c>
    </row>
    <row r="25" spans="1:85">
      <c r="A25" s="8">
        <v>1985</v>
      </c>
      <c r="B25">
        <v>1971.083124</v>
      </c>
      <c r="C25">
        <v>8412.4726429999992</v>
      </c>
      <c r="D25">
        <v>12251.238254</v>
      </c>
      <c r="E25">
        <v>18973.660459999999</v>
      </c>
      <c r="F25">
        <v>3741.3557340000002</v>
      </c>
      <c r="G25">
        <v>8063.3269419999997</v>
      </c>
      <c r="H25">
        <v>5492.2790150000001</v>
      </c>
      <c r="I25">
        <v>1845.2742900000001</v>
      </c>
      <c r="J25">
        <v>26230.576226000001</v>
      </c>
      <c r="K25">
        <v>2051.8445750000001</v>
      </c>
      <c r="M25">
        <f>B25*$N$1/'biomass Atlantis'!M25</f>
        <v>2.0114020045407179E-3</v>
      </c>
      <c r="N25">
        <f>C25*$N$1/'biomass Atlantis'!N25</f>
        <v>5.4137309200093448E-4</v>
      </c>
      <c r="O25">
        <f>D25*$N$1/'biomass Atlantis'!O25</f>
        <v>5.805560830644995E-3</v>
      </c>
      <c r="P25">
        <f>E25*$N$1/'biomass Atlantis'!P25</f>
        <v>1.2883443875581334E-2</v>
      </c>
      <c r="Q25">
        <f>F25*$N$1/'biomass Atlantis'!Q25</f>
        <v>3.6671841360533882E-3</v>
      </c>
      <c r="R25">
        <f>G25*$N$1/'biomass Atlantis'!R25</f>
        <v>9.3275437914886739E-3</v>
      </c>
      <c r="S25">
        <f>H25*$N$1/'biomass Atlantis'!S25</f>
        <v>2.2572350296470294E-2</v>
      </c>
      <c r="T25">
        <f>I25*$N$1/'biomass Atlantis'!T25</f>
        <v>7.5518626438361833E-4</v>
      </c>
      <c r="U25">
        <f>J25*$N$1/'biomass Atlantis'!U25</f>
        <v>0.11885840315246098</v>
      </c>
      <c r="V25">
        <f>K25*$N$1/'biomass Atlantis'!V25</f>
        <v>1.6137441244032868E-3</v>
      </c>
      <c r="X25">
        <f t="shared" si="1"/>
        <v>1971.083124</v>
      </c>
      <c r="Y25">
        <f t="shared" si="2"/>
        <v>8412.4726429999992</v>
      </c>
      <c r="Z25">
        <f t="shared" si="3"/>
        <v>12251.238254</v>
      </c>
      <c r="AA25">
        <f t="shared" si="4"/>
        <v>18973.660459999999</v>
      </c>
      <c r="AB25">
        <f t="shared" si="5"/>
        <v>3741.3557340000002</v>
      </c>
      <c r="AC25">
        <f t="shared" si="6"/>
        <v>8063.3269419999997</v>
      </c>
      <c r="AD25">
        <f t="shared" si="7"/>
        <v>5492.2790150000001</v>
      </c>
      <c r="AE25">
        <f t="shared" si="8"/>
        <v>1845.2742900000001</v>
      </c>
      <c r="AF25">
        <f t="shared" si="9"/>
        <v>26230.576226000001</v>
      </c>
      <c r="AG25">
        <f t="shared" si="10"/>
        <v>2051.8445750000001</v>
      </c>
      <c r="AI25" s="1">
        <f>AI11/'biomass Atlantis'!X12</f>
        <v>7.5834740961727057E-2</v>
      </c>
      <c r="AJ25" s="1">
        <f>AJ11/'biomass Atlantis'!Y12</f>
        <v>5.9799881213402802E-2</v>
      </c>
      <c r="AK25" s="1">
        <f>AK11/'biomass Atlantis'!Z12</f>
        <v>4.5305523986644655E-2</v>
      </c>
      <c r="AL25" s="1">
        <f>AL11/'biomass Atlantis'!AA12</f>
        <v>4.2961563496088498E-2</v>
      </c>
      <c r="AM25" s="1">
        <f>AM11/'biomass Atlantis'!AB12</f>
        <v>4.4401636907170507E-2</v>
      </c>
      <c r="AN25" s="1">
        <f>AN11/'biomass Atlantis'!AC12</f>
        <v>4.6399209455425604E-2</v>
      </c>
      <c r="AO25" s="1">
        <f>AO11/'biomass Atlantis'!AD12</f>
        <v>4.8966239159728399E-2</v>
      </c>
      <c r="AP25" s="1">
        <f>AP11/'biomass Atlantis'!AE12</f>
        <v>5.2083019807029327E-2</v>
      </c>
      <c r="AQ25" s="1">
        <f>AQ11/'biomass Atlantis'!AF12</f>
        <v>5.582859530689515E-2</v>
      </c>
      <c r="AR25" s="1">
        <f>AR11/'biomass Atlantis'!AG12</f>
        <v>5.9184596521845489E-2</v>
      </c>
      <c r="AS25" s="1">
        <f>AS11/'biomass Atlantis'!AH12</f>
        <v>6.3253196732900224E-2</v>
      </c>
      <c r="AT25" s="1">
        <f>AT11/'biomass Atlantis'!AI12</f>
        <v>6.6914283497960109E-2</v>
      </c>
      <c r="AU25" s="1">
        <f>AU11/'biomass Atlantis'!AJ12</f>
        <v>7.0735956814490852E-2</v>
      </c>
      <c r="AV25" s="1">
        <f>AV11/'biomass Atlantis'!AK12</f>
        <v>7.5079894068561998E-2</v>
      </c>
      <c r="AW25" s="1">
        <f>AW11/'biomass Atlantis'!AL12</f>
        <v>7.9891273545357647E-2</v>
      </c>
      <c r="AX25" s="1">
        <f>AX11/'biomass Atlantis'!AM12</f>
        <v>8.5487755981333804E-2</v>
      </c>
      <c r="AY25" s="1">
        <f>AY11/'biomass Atlantis'!AN12</f>
        <v>9.1192337849484037E-2</v>
      </c>
      <c r="AZ25" s="1">
        <f>AZ11/'biomass Atlantis'!AO12</f>
        <v>9.6764620985029942E-2</v>
      </c>
      <c r="BA25" s="1">
        <f>BA11/'biomass Atlantis'!AP12</f>
        <v>0.10108277799318716</v>
      </c>
      <c r="BB25" s="1">
        <f>BB11/'biomass Atlantis'!AQ12</f>
        <v>0.10831670018237657</v>
      </c>
      <c r="BC25" s="1">
        <f>BC11/'biomass Atlantis'!AR12</f>
        <v>0.1134769348348154</v>
      </c>
      <c r="BD25" s="1">
        <f>BD11/'biomass Atlantis'!AS12</f>
        <v>0.11885840315246098</v>
      </c>
      <c r="BE25" s="1">
        <f>BE11/'biomass Atlantis'!AT12</f>
        <v>0.1245646095388121</v>
      </c>
      <c r="BF25" s="1">
        <f>BF11/'biomass Atlantis'!AU12</f>
        <v>0.12978942844861646</v>
      </c>
      <c r="BG25" s="1">
        <f>BG11/'biomass Atlantis'!AV12</f>
        <v>0.13572303023699339</v>
      </c>
      <c r="BH25" s="1">
        <f>BH11/'biomass Atlantis'!AW12</f>
        <v>0.13812503564682224</v>
      </c>
      <c r="BI25" s="1">
        <f>BI11/'biomass Atlantis'!AX12</f>
        <v>0.1302920529640561</v>
      </c>
      <c r="BJ25" s="1">
        <f>BJ11/'biomass Atlantis'!AY12</f>
        <v>0.12486610710244059</v>
      </c>
      <c r="BK25" s="1">
        <f>BK11/'biomass Atlantis'!AZ12</f>
        <v>0.12229166828012623</v>
      </c>
      <c r="BL25" s="1">
        <f>BL11/'biomass Atlantis'!BA12</f>
        <v>0.12633398599089476</v>
      </c>
      <c r="BM25" s="1">
        <f>BM11/'biomass Atlantis'!BB12</f>
        <v>0.12795252010232061</v>
      </c>
      <c r="BN25" s="1">
        <f>BN11/'biomass Atlantis'!BC12</f>
        <v>0.12613155234803763</v>
      </c>
      <c r="BO25" s="1">
        <f>BO11/'biomass Atlantis'!BD12</f>
        <v>0.12173247887591931</v>
      </c>
      <c r="BP25" s="1">
        <f>BP11/'biomass Atlantis'!BE12</f>
        <v>0.12113095714141675</v>
      </c>
      <c r="BQ25" s="1">
        <f>BQ11/'biomass Atlantis'!BF12</f>
        <v>0.12279984680190138</v>
      </c>
      <c r="BR25" s="1">
        <f>BR11/'biomass Atlantis'!BG12</f>
        <v>0.11618683061825071</v>
      </c>
      <c r="BS25" s="1">
        <f>BS11/'biomass Atlantis'!BH12</f>
        <v>0.11472287706640584</v>
      </c>
      <c r="BT25" s="1">
        <f>BT11/'biomass Atlantis'!BI12</f>
        <v>0.11160286437811857</v>
      </c>
      <c r="BU25" s="1">
        <f>BU11/'biomass Atlantis'!BJ12</f>
        <v>0.10692179469526884</v>
      </c>
      <c r="BV25" s="1">
        <f>BV11/'biomass Atlantis'!BK12</f>
        <v>0.10286505624308227</v>
      </c>
      <c r="BW25" s="1">
        <f>BW11/'biomass Atlantis'!BL12</f>
        <v>0.10050259754557589</v>
      </c>
      <c r="BX25" s="1">
        <f>BX11/'biomass Atlantis'!BM12</f>
        <v>0.10213140535112154</v>
      </c>
      <c r="BY25" s="1">
        <f>BY11/'biomass Atlantis'!BN12</f>
        <v>9.7801848067457398E-2</v>
      </c>
      <c r="BZ25" s="1">
        <f>BZ11/'biomass Atlantis'!BO12</f>
        <v>9.6157273613947158E-2</v>
      </c>
      <c r="CA25" s="1">
        <f>CA11/'biomass Atlantis'!BP12</f>
        <v>9.2139184597455487E-2</v>
      </c>
      <c r="CB25" s="1">
        <f>CB11/'biomass Atlantis'!BQ12</f>
        <v>9.2284592431854995E-2</v>
      </c>
      <c r="CC25" s="1">
        <f>CC11/'biomass Atlantis'!BR12</f>
        <v>9.2615066669867685E-2</v>
      </c>
      <c r="CD25" s="1">
        <f>CD11/'biomass Atlantis'!BS12</f>
        <v>9.17724144434547E-2</v>
      </c>
      <c r="CE25" s="1">
        <f>CE11/'biomass Atlantis'!BT12</f>
        <v>9.0893911223121515E-2</v>
      </c>
      <c r="CF25" s="1">
        <f>CF11/'biomass Atlantis'!BU12</f>
        <v>8.973486286352729E-2</v>
      </c>
      <c r="CG25" s="1">
        <f>CG11/'biomass Atlantis'!BV12</f>
        <v>8.8211626136447313E-2</v>
      </c>
    </row>
    <row r="26" spans="1:85">
      <c r="A26" s="8">
        <v>1986</v>
      </c>
      <c r="B26">
        <v>2335.8569819999998</v>
      </c>
      <c r="C26">
        <v>8625.7778060000001</v>
      </c>
      <c r="D26">
        <v>14365.99973</v>
      </c>
      <c r="E26">
        <v>18312.368382000001</v>
      </c>
      <c r="F26">
        <v>3465.5037470000002</v>
      </c>
      <c r="G26">
        <v>7193.9638660000001</v>
      </c>
      <c r="H26">
        <v>5301.6265860000003</v>
      </c>
      <c r="I26">
        <v>1915.5929610000001</v>
      </c>
      <c r="J26">
        <v>25800.090840000001</v>
      </c>
      <c r="K26">
        <v>2025.166905</v>
      </c>
      <c r="M26">
        <f>B26*$N$1/'biomass Atlantis'!M26</f>
        <v>2.3702739206080937E-3</v>
      </c>
      <c r="N26">
        <f>C26*$N$1/'biomass Atlantis'!N26</f>
        <v>6.0011478695463341E-4</v>
      </c>
      <c r="O26">
        <f>D26*$N$1/'biomass Atlantis'!O26</f>
        <v>6.9504865457626084E-3</v>
      </c>
      <c r="P26">
        <f>E26*$N$1/'biomass Atlantis'!P26</f>
        <v>1.3228279042895676E-2</v>
      </c>
      <c r="Q26">
        <f>F26*$N$1/'biomass Atlantis'!Q26</f>
        <v>4.0521586949360004E-3</v>
      </c>
      <c r="R26">
        <f>G26*$N$1/'biomass Atlantis'!R26</f>
        <v>9.5717336420930287E-3</v>
      </c>
      <c r="S26">
        <f>H26*$N$1/'biomass Atlantis'!S26</f>
        <v>2.2936438723212983E-2</v>
      </c>
      <c r="T26">
        <f>I26*$N$1/'biomass Atlantis'!T26</f>
        <v>5.5518967818160288E-4</v>
      </c>
      <c r="U26">
        <f>J26*$N$1/'biomass Atlantis'!U26</f>
        <v>0.1245646095388121</v>
      </c>
      <c r="V26">
        <f>K26*$N$1/'biomass Atlantis'!V26</f>
        <v>1.7452723694972778E-3</v>
      </c>
      <c r="X26">
        <f t="shared" si="1"/>
        <v>2335.8569819999998</v>
      </c>
      <c r="Y26">
        <f t="shared" si="2"/>
        <v>8625.7778060000001</v>
      </c>
      <c r="Z26">
        <f t="shared" si="3"/>
        <v>14365.99973</v>
      </c>
      <c r="AA26">
        <f t="shared" si="4"/>
        <v>18312.368382000001</v>
      </c>
      <c r="AB26">
        <f t="shared" si="5"/>
        <v>3465.5037470000002</v>
      </c>
      <c r="AC26">
        <f t="shared" si="6"/>
        <v>7193.9638660000001</v>
      </c>
      <c r="AD26">
        <f t="shared" si="7"/>
        <v>5301.6265860000003</v>
      </c>
      <c r="AE26">
        <f t="shared" si="8"/>
        <v>1915.5929610000001</v>
      </c>
      <c r="AF26">
        <f t="shared" si="9"/>
        <v>25800.090840000001</v>
      </c>
      <c r="AG26">
        <f t="shared" si="10"/>
        <v>2025.166905</v>
      </c>
      <c r="AI26" s="1">
        <f>AI12/'biomass Atlantis'!X13</f>
        <v>0</v>
      </c>
      <c r="AJ26" s="1">
        <f>AJ12/'biomass Atlantis'!Y13</f>
        <v>0</v>
      </c>
      <c r="AK26" s="1">
        <f>AK12/'biomass Atlantis'!Z13</f>
        <v>0</v>
      </c>
      <c r="AL26" s="1">
        <f>AL12/'biomass Atlantis'!AA13</f>
        <v>0</v>
      </c>
      <c r="AM26" s="1">
        <f>AM12/'biomass Atlantis'!AB13</f>
        <v>0</v>
      </c>
      <c r="AN26" s="1">
        <f>AN12/'biomass Atlantis'!AC13</f>
        <v>0</v>
      </c>
      <c r="AO26" s="1">
        <f>AO12/'biomass Atlantis'!AD13</f>
        <v>0</v>
      </c>
      <c r="AP26" s="1">
        <f>AP12/'biomass Atlantis'!AE13</f>
        <v>0</v>
      </c>
      <c r="AQ26" s="1">
        <f>AQ12/'biomass Atlantis'!AF13</f>
        <v>0</v>
      </c>
      <c r="AR26" s="1">
        <f>AR12/'biomass Atlantis'!AG13</f>
        <v>0</v>
      </c>
      <c r="AS26" s="1">
        <f>AS12/'biomass Atlantis'!AH13</f>
        <v>0</v>
      </c>
      <c r="AT26" s="1">
        <f>AT12/'biomass Atlantis'!AI13</f>
        <v>0</v>
      </c>
      <c r="AU26" s="1">
        <f>AU12/'biomass Atlantis'!AJ13</f>
        <v>0</v>
      </c>
      <c r="AV26" s="1">
        <f>AV12/'biomass Atlantis'!AK13</f>
        <v>0</v>
      </c>
      <c r="AW26" s="1">
        <f>AW12/'biomass Atlantis'!AL13</f>
        <v>0</v>
      </c>
      <c r="AX26" s="1">
        <f>AX12/'biomass Atlantis'!AM13</f>
        <v>0</v>
      </c>
      <c r="AY26" s="1">
        <f>AY12/'biomass Atlantis'!AN13</f>
        <v>0</v>
      </c>
      <c r="AZ26" s="1">
        <f>AZ12/'biomass Atlantis'!AO13</f>
        <v>0</v>
      </c>
      <c r="BA26" s="1">
        <f>BA12/'biomass Atlantis'!AP13</f>
        <v>0</v>
      </c>
      <c r="BB26" s="1">
        <f>BB12/'biomass Atlantis'!AQ13</f>
        <v>0</v>
      </c>
      <c r="BC26" s="1">
        <f>BC12/'biomass Atlantis'!AR13</f>
        <v>0</v>
      </c>
      <c r="BD26" s="1">
        <f>BD12/'biomass Atlantis'!AS13</f>
        <v>0</v>
      </c>
      <c r="BE26" s="1">
        <f>BE12/'biomass Atlantis'!AT13</f>
        <v>0</v>
      </c>
      <c r="BF26" s="1">
        <f>BF12/'biomass Atlantis'!AU13</f>
        <v>0</v>
      </c>
      <c r="BG26" s="1">
        <f>BG12/'biomass Atlantis'!AV13</f>
        <v>0</v>
      </c>
      <c r="BH26" s="1">
        <f>BH12/'biomass Atlantis'!AW13</f>
        <v>0</v>
      </c>
      <c r="BI26" s="1">
        <f>BI12/'biomass Atlantis'!AX13</f>
        <v>0</v>
      </c>
      <c r="BJ26" s="1">
        <f>BJ12/'biomass Atlantis'!AY13</f>
        <v>0</v>
      </c>
      <c r="BK26" s="1">
        <f>BK12/'biomass Atlantis'!AZ13</f>
        <v>0</v>
      </c>
      <c r="BL26" s="1">
        <f>BL12/'biomass Atlantis'!BA13</f>
        <v>0</v>
      </c>
      <c r="BM26" s="1">
        <f>BM12/'biomass Atlantis'!BB13</f>
        <v>0</v>
      </c>
      <c r="BN26" s="1">
        <f>BN12/'biomass Atlantis'!BC13</f>
        <v>0</v>
      </c>
      <c r="BO26" s="1">
        <f>BO12/'biomass Atlantis'!BD13</f>
        <v>0</v>
      </c>
      <c r="BP26" s="1">
        <f>BP12/'biomass Atlantis'!BE13</f>
        <v>0</v>
      </c>
      <c r="BQ26" s="1">
        <f>BQ12/'biomass Atlantis'!BF13</f>
        <v>0</v>
      </c>
      <c r="BR26" s="1">
        <f>BR12/'biomass Atlantis'!BG13</f>
        <v>0</v>
      </c>
      <c r="BS26" s="1">
        <f>BS12/'biomass Atlantis'!BH13</f>
        <v>0</v>
      </c>
      <c r="BT26" s="1">
        <f>BT12/'biomass Atlantis'!BI13</f>
        <v>0</v>
      </c>
      <c r="BU26" s="1">
        <f>BU12/'biomass Atlantis'!BJ13</f>
        <v>0</v>
      </c>
      <c r="BV26" s="1">
        <f>BV12/'biomass Atlantis'!BK13</f>
        <v>0</v>
      </c>
      <c r="BW26" s="1">
        <f>BW12/'biomass Atlantis'!BL13</f>
        <v>0</v>
      </c>
      <c r="BX26" s="1">
        <f>BX12/'biomass Atlantis'!BM13</f>
        <v>0</v>
      </c>
      <c r="BY26" s="1">
        <f>BY12/'biomass Atlantis'!BN13</f>
        <v>0</v>
      </c>
      <c r="BZ26" s="1">
        <f>BZ12/'biomass Atlantis'!BO13</f>
        <v>0</v>
      </c>
      <c r="CA26" s="1">
        <f>CA12/'biomass Atlantis'!BP13</f>
        <v>0</v>
      </c>
      <c r="CB26" s="1">
        <f>CB12/'biomass Atlantis'!BQ13</f>
        <v>0</v>
      </c>
      <c r="CC26" s="1">
        <f>CC12/'biomass Atlantis'!BR13</f>
        <v>0</v>
      </c>
      <c r="CD26" s="1">
        <f>CD12/'biomass Atlantis'!BS13</f>
        <v>0</v>
      </c>
      <c r="CE26" s="1">
        <f>CE12/'biomass Atlantis'!BT13</f>
        <v>0</v>
      </c>
      <c r="CF26" s="1">
        <f>CF12/'biomass Atlantis'!BU13</f>
        <v>0</v>
      </c>
      <c r="CG26" s="1">
        <f>CG12/'biomass Atlantis'!BV13</f>
        <v>0</v>
      </c>
    </row>
    <row r="27" spans="1:85">
      <c r="A27" s="8">
        <v>1987</v>
      </c>
      <c r="B27">
        <v>2373.1878510000001</v>
      </c>
      <c r="C27">
        <v>8478.5393029999996</v>
      </c>
      <c r="D27">
        <v>16860.187545000001</v>
      </c>
      <c r="E27">
        <v>17872.821550000001</v>
      </c>
      <c r="F27">
        <v>2933.474909</v>
      </c>
      <c r="G27">
        <v>6760.694313</v>
      </c>
      <c r="H27">
        <v>5188.2552619999997</v>
      </c>
      <c r="I27">
        <v>3491.6489980000001</v>
      </c>
      <c r="J27">
        <v>25248.389615</v>
      </c>
      <c r="K27">
        <v>2002.766689</v>
      </c>
      <c r="M27">
        <f>B27*$N$1/'biomass Atlantis'!M27</f>
        <v>2.3719653638849618E-3</v>
      </c>
      <c r="N27">
        <f>C27*$N$1/'biomass Atlantis'!N27</f>
        <v>6.2391096011530799E-4</v>
      </c>
      <c r="O27">
        <f>D27*$N$1/'biomass Atlantis'!O27</f>
        <v>8.4422405061303028E-3</v>
      </c>
      <c r="P27">
        <f>E27*$N$1/'biomass Atlantis'!P27</f>
        <v>1.370333168265378E-2</v>
      </c>
      <c r="Q27">
        <f>F27*$N$1/'biomass Atlantis'!Q27</f>
        <v>4.0732913112039408E-3</v>
      </c>
      <c r="R27">
        <f>G27*$N$1/'biomass Atlantis'!R27</f>
        <v>1.0177097457031556E-2</v>
      </c>
      <c r="S27">
        <f>H27*$N$1/'biomass Atlantis'!S27</f>
        <v>2.2893639590153621E-2</v>
      </c>
      <c r="T27">
        <f>I27*$N$1/'biomass Atlantis'!T27</f>
        <v>1.2571432660675966E-3</v>
      </c>
      <c r="U27">
        <f>J27*$N$1/'biomass Atlantis'!U27</f>
        <v>0.12978942844861646</v>
      </c>
      <c r="V27">
        <f>K27*$N$1/'biomass Atlantis'!V27</f>
        <v>1.8889866621401002E-3</v>
      </c>
      <c r="X27">
        <f t="shared" si="1"/>
        <v>2373.1878510000001</v>
      </c>
      <c r="Y27">
        <f t="shared" si="2"/>
        <v>8478.5393029999996</v>
      </c>
      <c r="Z27">
        <f t="shared" si="3"/>
        <v>16860.187545000001</v>
      </c>
      <c r="AA27">
        <f t="shared" si="4"/>
        <v>17872.821550000001</v>
      </c>
      <c r="AB27">
        <f t="shared" si="5"/>
        <v>2933.474909</v>
      </c>
      <c r="AC27">
        <f t="shared" si="6"/>
        <v>6760.694313</v>
      </c>
      <c r="AD27">
        <f t="shared" si="7"/>
        <v>5188.2552619999997</v>
      </c>
      <c r="AE27">
        <f t="shared" si="8"/>
        <v>3491.6489980000001</v>
      </c>
      <c r="AF27">
        <f t="shared" si="9"/>
        <v>25248.389615</v>
      </c>
      <c r="AG27">
        <f t="shared" si="10"/>
        <v>2002.766689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8">
        <v>1988</v>
      </c>
      <c r="B28">
        <v>2373.6759299999999</v>
      </c>
      <c r="C28">
        <v>8545.4085250000007</v>
      </c>
      <c r="D28">
        <v>18093.351013</v>
      </c>
      <c r="E28">
        <v>17369.145651999999</v>
      </c>
      <c r="F28">
        <v>2562.8734890000001</v>
      </c>
      <c r="G28">
        <v>5993.3004170000004</v>
      </c>
      <c r="H28">
        <v>5240.1657349999996</v>
      </c>
      <c r="I28">
        <v>2926.0651509999998</v>
      </c>
      <c r="J28">
        <v>24708.137495999999</v>
      </c>
      <c r="K28">
        <v>1940.305321</v>
      </c>
      <c r="M28">
        <f>B28*$N$1/'biomass Atlantis'!M28</f>
        <v>2.3184489828158936E-3</v>
      </c>
      <c r="N28">
        <f>C28*$N$1/'biomass Atlantis'!N28</f>
        <v>6.6405089617240182E-4</v>
      </c>
      <c r="O28">
        <f>D28*$N$1/'biomass Atlantis'!O28</f>
        <v>9.4288916767030113E-3</v>
      </c>
      <c r="P28">
        <f>E28*$N$1/'biomass Atlantis'!P28</f>
        <v>1.4378106743084559E-2</v>
      </c>
      <c r="Q28">
        <f>F28*$N$1/'biomass Atlantis'!Q28</f>
        <v>4.3999970290055706E-3</v>
      </c>
      <c r="R28">
        <f>G28*$N$1/'biomass Atlantis'!R28</f>
        <v>1.0405068829109717E-2</v>
      </c>
      <c r="S28">
        <f>H28*$N$1/'biomass Atlantis'!S28</f>
        <v>2.4924773718542174E-2</v>
      </c>
      <c r="T28">
        <f>I28*$N$1/'biomass Atlantis'!T28</f>
        <v>1.2190638384940446E-3</v>
      </c>
      <c r="U28">
        <f>J28*$N$1/'biomass Atlantis'!U28</f>
        <v>0.13572303023699339</v>
      </c>
      <c r="V28">
        <f>K28*$N$1/'biomass Atlantis'!V28</f>
        <v>2.0142810942224815E-3</v>
      </c>
      <c r="X28">
        <f t="shared" si="1"/>
        <v>2373.6759299999999</v>
      </c>
      <c r="Y28">
        <f t="shared" si="2"/>
        <v>8545.4085250000007</v>
      </c>
      <c r="Z28">
        <f t="shared" si="3"/>
        <v>18093.351013</v>
      </c>
      <c r="AA28">
        <f t="shared" si="4"/>
        <v>17369.145651999999</v>
      </c>
      <c r="AB28">
        <f t="shared" si="5"/>
        <v>2562.8734890000001</v>
      </c>
      <c r="AC28">
        <f t="shared" si="6"/>
        <v>5993.3004170000004</v>
      </c>
      <c r="AD28">
        <f t="shared" si="7"/>
        <v>5240.1657349999996</v>
      </c>
      <c r="AE28">
        <f t="shared" si="8"/>
        <v>2926.0651509999998</v>
      </c>
      <c r="AF28">
        <f t="shared" si="9"/>
        <v>24708.137495999999</v>
      </c>
      <c r="AG28">
        <f t="shared" si="10"/>
        <v>1940.305321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8">
        <v>1989</v>
      </c>
      <c r="B29">
        <v>2501.811177</v>
      </c>
      <c r="C29">
        <v>8437.0610730000008</v>
      </c>
      <c r="D29">
        <v>19331.245338000001</v>
      </c>
      <c r="E29">
        <v>16454.368128999999</v>
      </c>
      <c r="F29">
        <v>2180.3635829999998</v>
      </c>
      <c r="G29">
        <v>5480.4958649999999</v>
      </c>
      <c r="H29">
        <v>5263.2779840000003</v>
      </c>
      <c r="I29">
        <v>2909.5315169999999</v>
      </c>
      <c r="J29">
        <v>23761.425796</v>
      </c>
      <c r="K29">
        <v>1879.9888109999999</v>
      </c>
      <c r="M29">
        <f>B29*$N$1/'biomass Atlantis'!M29</f>
        <v>2.3828647057913071E-3</v>
      </c>
      <c r="N29">
        <f>C29*$N$1/'biomass Atlantis'!N29</f>
        <v>6.912721477265795E-4</v>
      </c>
      <c r="O29">
        <f>D29*$N$1/'biomass Atlantis'!O29</f>
        <v>1.0479230347267885E-2</v>
      </c>
      <c r="P29">
        <f>E29*$N$1/'biomass Atlantis'!P29</f>
        <v>1.4716826906831272E-2</v>
      </c>
      <c r="Q29">
        <f>F29*$N$1/'biomass Atlantis'!Q29</f>
        <v>4.6164389037508446E-3</v>
      </c>
      <c r="R29">
        <f>G29*$N$1/'biomass Atlantis'!R29</f>
        <v>1.0595886150464829E-2</v>
      </c>
      <c r="S29">
        <f>H29*$N$1/'biomass Atlantis'!S29</f>
        <v>2.6896074520073962E-2</v>
      </c>
      <c r="T29">
        <f>I29*$N$1/'biomass Atlantis'!T29</f>
        <v>1.4040095233291356E-3</v>
      </c>
      <c r="U29">
        <f>J29*$N$1/'biomass Atlantis'!U29</f>
        <v>0.13812503564682224</v>
      </c>
      <c r="V29">
        <f>K29*$N$1/'biomass Atlantis'!V29</f>
        <v>2.1130928242285834E-3</v>
      </c>
      <c r="X29">
        <f t="shared" si="1"/>
        <v>2501.811177</v>
      </c>
      <c r="Y29">
        <f t="shared" si="2"/>
        <v>8437.0610730000008</v>
      </c>
      <c r="Z29">
        <f t="shared" si="3"/>
        <v>19331.245338000001</v>
      </c>
      <c r="AA29">
        <f t="shared" si="4"/>
        <v>16454.368128999999</v>
      </c>
      <c r="AB29">
        <f t="shared" si="5"/>
        <v>2180.3635829999998</v>
      </c>
      <c r="AC29">
        <f t="shared" si="6"/>
        <v>5480.4958649999999</v>
      </c>
      <c r="AD29">
        <f t="shared" si="7"/>
        <v>5263.2779840000003</v>
      </c>
      <c r="AE29">
        <f t="shared" si="8"/>
        <v>2909.5315169999999</v>
      </c>
      <c r="AF29">
        <f t="shared" si="9"/>
        <v>23761.425796</v>
      </c>
      <c r="AG29">
        <f t="shared" si="10"/>
        <v>1879.9888109999999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8">
        <v>1990</v>
      </c>
      <c r="B30">
        <v>2536.6545809999998</v>
      </c>
      <c r="C30">
        <v>7837.0771910000003</v>
      </c>
      <c r="D30">
        <v>18014.584756</v>
      </c>
      <c r="E30">
        <v>14738.536195999999</v>
      </c>
      <c r="F30">
        <v>1637.657655</v>
      </c>
      <c r="G30">
        <v>4378.2270239999998</v>
      </c>
      <c r="H30">
        <v>4920.4470419999998</v>
      </c>
      <c r="I30">
        <v>2547.2506429999999</v>
      </c>
      <c r="J30">
        <v>21919.242595</v>
      </c>
      <c r="K30">
        <v>1700.1423930000001</v>
      </c>
      <c r="M30">
        <f>B30*$N$1/'biomass Atlantis'!M30</f>
        <v>2.3516077975356884E-3</v>
      </c>
      <c r="N30">
        <f>C30*$N$1/'biomass Atlantis'!N30</f>
        <v>6.7613820993676454E-4</v>
      </c>
      <c r="O30">
        <f>D30*$N$1/'biomass Atlantis'!O30</f>
        <v>1.0153209729999295E-2</v>
      </c>
      <c r="P30">
        <f>E30*$N$1/'biomass Atlantis'!P30</f>
        <v>1.4039412617604498E-2</v>
      </c>
      <c r="Q30">
        <f>F30*$N$1/'biomass Atlantis'!Q30</f>
        <v>3.807354886968393E-3</v>
      </c>
      <c r="R30">
        <f>G30*$N$1/'biomass Atlantis'!R30</f>
        <v>8.3995742003208466E-3</v>
      </c>
      <c r="S30">
        <f>H30*$N$1/'biomass Atlantis'!S30</f>
        <v>2.2653579197914889E-2</v>
      </c>
      <c r="T30">
        <f>I30*$N$1/'biomass Atlantis'!T30</f>
        <v>9.1436376961934564E-4</v>
      </c>
      <c r="U30">
        <f>J30*$N$1/'biomass Atlantis'!U30</f>
        <v>0.1302920529640561</v>
      </c>
      <c r="V30">
        <f>K30*$N$1/'biomass Atlantis'!V30</f>
        <v>1.9835129435218399E-3</v>
      </c>
      <c r="X30">
        <f t="shared" si="1"/>
        <v>2536.6545809999998</v>
      </c>
      <c r="Y30">
        <f t="shared" si="2"/>
        <v>7837.0771910000003</v>
      </c>
      <c r="Z30">
        <f t="shared" si="3"/>
        <v>18014.584756</v>
      </c>
      <c r="AA30">
        <f t="shared" si="4"/>
        <v>14738.536195999999</v>
      </c>
      <c r="AB30">
        <f t="shared" si="5"/>
        <v>1637.657655</v>
      </c>
      <c r="AC30">
        <f t="shared" si="6"/>
        <v>4378.2270239999998</v>
      </c>
      <c r="AD30">
        <f t="shared" si="7"/>
        <v>4920.4470419999998</v>
      </c>
      <c r="AE30">
        <f t="shared" si="8"/>
        <v>2547.2506429999999</v>
      </c>
      <c r="AF30">
        <f t="shared" si="9"/>
        <v>21919.242595</v>
      </c>
      <c r="AG30">
        <f t="shared" si="10"/>
        <v>1700.1423930000001</v>
      </c>
      <c r="AI30" s="1" t="s">
        <v>249</v>
      </c>
      <c r="AJ30" s="1"/>
      <c r="AK30" s="1" t="s">
        <v>250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>
      <c r="A31" s="8">
        <v>1991</v>
      </c>
      <c r="B31">
        <v>2700.2658719999999</v>
      </c>
      <c r="C31">
        <v>7460.6613010000001</v>
      </c>
      <c r="D31">
        <v>17904.841832999999</v>
      </c>
      <c r="E31">
        <v>13876.081139</v>
      </c>
      <c r="F31">
        <v>1427.834374</v>
      </c>
      <c r="G31">
        <v>4439.0542489999998</v>
      </c>
      <c r="H31">
        <v>4967.6991330000001</v>
      </c>
      <c r="I31">
        <v>3457.5165280000001</v>
      </c>
      <c r="J31">
        <v>20845.473559999999</v>
      </c>
      <c r="K31">
        <v>1653.916037</v>
      </c>
      <c r="M31">
        <f>B31*$N$1/'biomass Atlantis'!M31</f>
        <v>2.2046894285189518E-3</v>
      </c>
      <c r="N31">
        <f>C31*$N$1/'biomass Atlantis'!N31</f>
        <v>6.7239041086475631E-4</v>
      </c>
      <c r="O31">
        <f>D31*$N$1/'biomass Atlantis'!O31</f>
        <v>9.6546150363939678E-3</v>
      </c>
      <c r="P31">
        <f>E31*$N$1/'biomass Atlantis'!P31</f>
        <v>1.3578980113024056E-2</v>
      </c>
      <c r="Q31">
        <f>F31*$N$1/'biomass Atlantis'!Q31</f>
        <v>3.4727353805548379E-3</v>
      </c>
      <c r="R31">
        <f>G31*$N$1/'biomass Atlantis'!R31</f>
        <v>8.2086931235423721E-3</v>
      </c>
      <c r="S31">
        <f>H31*$N$1/'biomass Atlantis'!S31</f>
        <v>2.1939423835797254E-2</v>
      </c>
      <c r="T31">
        <f>I31*$N$1/'biomass Atlantis'!T31</f>
        <v>1.414627083349343E-3</v>
      </c>
      <c r="U31">
        <f>J31*$N$1/'biomass Atlantis'!U31</f>
        <v>0.12486610710244059</v>
      </c>
      <c r="V31">
        <f>K31*$N$1/'biomass Atlantis'!V31</f>
        <v>1.9685881651490562E-3</v>
      </c>
      <c r="X31">
        <f t="shared" si="1"/>
        <v>2700.2658719999999</v>
      </c>
      <c r="Y31">
        <f t="shared" si="2"/>
        <v>7460.6613010000001</v>
      </c>
      <c r="Z31">
        <f t="shared" si="3"/>
        <v>17904.841832999999</v>
      </c>
      <c r="AA31">
        <f t="shared" si="4"/>
        <v>13876.081139</v>
      </c>
      <c r="AB31">
        <f t="shared" si="5"/>
        <v>1427.834374</v>
      </c>
      <c r="AC31">
        <f t="shared" si="6"/>
        <v>4439.0542489999998</v>
      </c>
      <c r="AD31">
        <f t="shared" si="7"/>
        <v>4967.6991330000001</v>
      </c>
      <c r="AE31">
        <f t="shared" si="8"/>
        <v>3457.5165280000001</v>
      </c>
      <c r="AF31">
        <f t="shared" si="9"/>
        <v>20845.473559999999</v>
      </c>
      <c r="AG31">
        <f t="shared" si="10"/>
        <v>1653.916037</v>
      </c>
      <c r="AI31" s="1">
        <f>AVERAGE(AI17:CG17)</f>
        <v>2.2670913777286545E-3</v>
      </c>
      <c r="AJ31" s="1"/>
      <c r="AK31" s="1">
        <f>LOG10(AI31)</f>
        <v>-2.6445309747814929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8">
        <v>1992</v>
      </c>
      <c r="B32">
        <v>2944.7882020000002</v>
      </c>
      <c r="C32">
        <v>7225.8901610000003</v>
      </c>
      <c r="D32">
        <v>19099.884396000001</v>
      </c>
      <c r="E32">
        <v>13529.970208000001</v>
      </c>
      <c r="F32">
        <v>1350.7910039999999</v>
      </c>
      <c r="G32">
        <v>4926.9336780000003</v>
      </c>
      <c r="H32">
        <v>5380.3823069999999</v>
      </c>
      <c r="I32">
        <v>2681.5998519999998</v>
      </c>
      <c r="J32">
        <v>20299.049822000001</v>
      </c>
      <c r="K32">
        <v>1661.7921120000001</v>
      </c>
      <c r="M32">
        <f>B32*$N$1/'biomass Atlantis'!M32</f>
        <v>2.4508627921200829E-3</v>
      </c>
      <c r="N32">
        <f>C32*$N$1/'biomass Atlantis'!N32</f>
        <v>6.7845642908238445E-4</v>
      </c>
      <c r="O32">
        <f>D32*$N$1/'biomass Atlantis'!O32</f>
        <v>1.0787492890859229E-2</v>
      </c>
      <c r="P32">
        <f>E32*$N$1/'biomass Atlantis'!P32</f>
        <v>1.3581756679119867E-2</v>
      </c>
      <c r="Q32">
        <f>F32*$N$1/'biomass Atlantis'!Q32</f>
        <v>3.4695462601978242E-3</v>
      </c>
      <c r="R32">
        <f>G32*$N$1/'biomass Atlantis'!R32</f>
        <v>9.2968447265177803E-3</v>
      </c>
      <c r="S32">
        <f>H32*$N$1/'biomass Atlantis'!S32</f>
        <v>2.7470759393850741E-2</v>
      </c>
      <c r="T32">
        <f>I32*$N$1/'biomass Atlantis'!T32</f>
        <v>1.3303335928815604E-3</v>
      </c>
      <c r="U32">
        <f>J32*$N$1/'biomass Atlantis'!U32</f>
        <v>0.12229166828012623</v>
      </c>
      <c r="V32">
        <f>K32*$N$1/'biomass Atlantis'!V32</f>
        <v>2.0159707595485588E-3</v>
      </c>
      <c r="X32">
        <f t="shared" si="1"/>
        <v>2944.7882020000002</v>
      </c>
      <c r="Y32">
        <f t="shared" si="2"/>
        <v>7225.8901610000003</v>
      </c>
      <c r="Z32">
        <f t="shared" si="3"/>
        <v>19099.884396000001</v>
      </c>
      <c r="AA32">
        <f t="shared" si="4"/>
        <v>13529.970208000001</v>
      </c>
      <c r="AB32">
        <f t="shared" si="5"/>
        <v>1350.7910039999999</v>
      </c>
      <c r="AC32">
        <f t="shared" si="6"/>
        <v>4926.9336780000003</v>
      </c>
      <c r="AD32">
        <f t="shared" si="7"/>
        <v>5380.3823069999999</v>
      </c>
      <c r="AE32">
        <f t="shared" si="8"/>
        <v>2681.5998519999998</v>
      </c>
      <c r="AF32">
        <f t="shared" si="9"/>
        <v>20299.049822000001</v>
      </c>
      <c r="AG32">
        <f t="shared" si="10"/>
        <v>1661.7921120000001</v>
      </c>
      <c r="AI32" s="1">
        <f t="shared" ref="AI32:AI40" si="11">AVERAGE(AI18:CG18)</f>
        <v>4.816397276516649E-4</v>
      </c>
      <c r="AK32" s="1">
        <f t="shared" ref="AK32:AK40" si="12">LOG10(AI32)</f>
        <v>-3.3172776978542453</v>
      </c>
    </row>
    <row r="33" spans="1:85">
      <c r="A33" s="8">
        <v>1993</v>
      </c>
      <c r="B33">
        <v>2932.593331</v>
      </c>
      <c r="C33">
        <v>7001.0642749999997</v>
      </c>
      <c r="D33">
        <v>17161.454621000001</v>
      </c>
      <c r="E33">
        <v>12987.846363000001</v>
      </c>
      <c r="F33">
        <v>1333.4906570000001</v>
      </c>
      <c r="G33">
        <v>4870.8299219999999</v>
      </c>
      <c r="H33">
        <v>5072.7007119999998</v>
      </c>
      <c r="I33">
        <v>2203.6989279999998</v>
      </c>
      <c r="J33">
        <v>20621.6495</v>
      </c>
      <c r="K33">
        <v>1632.594175</v>
      </c>
      <c r="M33">
        <f>B33*$N$1/'biomass Atlantis'!M33</f>
        <v>2.4690923879964093E-3</v>
      </c>
      <c r="N33">
        <f>C33*$N$1/'biomass Atlantis'!N33</f>
        <v>6.844951119717083E-4</v>
      </c>
      <c r="O33">
        <f>D33*$N$1/'biomass Atlantis'!O33</f>
        <v>1.0068672081646933E-2</v>
      </c>
      <c r="P33">
        <f>E33*$N$1/'biomass Atlantis'!P33</f>
        <v>1.340181351836282E-2</v>
      </c>
      <c r="Q33">
        <f>F33*$N$1/'biomass Atlantis'!Q33</f>
        <v>3.6036242150465068E-3</v>
      </c>
      <c r="R33">
        <f>G33*$N$1/'biomass Atlantis'!R33</f>
        <v>9.6027611039503306E-3</v>
      </c>
      <c r="S33">
        <f>H33*$N$1/'biomass Atlantis'!S33</f>
        <v>2.493953345647516E-2</v>
      </c>
      <c r="T33">
        <f>I33*$N$1/'biomass Atlantis'!T33</f>
        <v>7.9045454079262325E-4</v>
      </c>
      <c r="U33">
        <f>J33*$N$1/'biomass Atlantis'!U33</f>
        <v>0.12633398599089476</v>
      </c>
      <c r="V33">
        <f>K33*$N$1/'biomass Atlantis'!V33</f>
        <v>2.0132531151659133E-3</v>
      </c>
      <c r="X33">
        <f t="shared" si="1"/>
        <v>2932.593331</v>
      </c>
      <c r="Y33">
        <f t="shared" si="2"/>
        <v>7001.0642749999997</v>
      </c>
      <c r="Z33">
        <f t="shared" si="3"/>
        <v>17161.454621000001</v>
      </c>
      <c r="AA33">
        <f t="shared" si="4"/>
        <v>12987.846363000001</v>
      </c>
      <c r="AB33">
        <f t="shared" si="5"/>
        <v>1333.4906570000001</v>
      </c>
      <c r="AC33">
        <f t="shared" si="6"/>
        <v>4870.8299219999999</v>
      </c>
      <c r="AD33">
        <f t="shared" si="7"/>
        <v>5072.7007119999998</v>
      </c>
      <c r="AE33">
        <f t="shared" si="8"/>
        <v>2203.6989279999998</v>
      </c>
      <c r="AF33">
        <f t="shared" si="9"/>
        <v>20621.6495</v>
      </c>
      <c r="AG33">
        <f t="shared" si="10"/>
        <v>1632.594175</v>
      </c>
      <c r="AI33" s="1">
        <f t="shared" si="11"/>
        <v>6.4924371745130743E-2</v>
      </c>
      <c r="AK33" s="1">
        <f t="shared" si="12"/>
        <v>-1.1875922442237745</v>
      </c>
    </row>
    <row r="34" spans="1:85">
      <c r="A34" s="8">
        <v>1994</v>
      </c>
      <c r="B34">
        <v>2795.1586630000002</v>
      </c>
      <c r="C34">
        <v>6764.8844719999997</v>
      </c>
      <c r="D34">
        <v>18268.061857000001</v>
      </c>
      <c r="E34">
        <v>12940.880415</v>
      </c>
      <c r="F34">
        <v>1298.077726</v>
      </c>
      <c r="G34">
        <v>4245.6187879999998</v>
      </c>
      <c r="H34">
        <v>5135.337982</v>
      </c>
      <c r="I34">
        <v>3332.79702</v>
      </c>
      <c r="J34">
        <v>20530.186945000001</v>
      </c>
      <c r="K34">
        <v>1652.581964</v>
      </c>
      <c r="M34">
        <f>B34*$N$1/'biomass Atlantis'!M34</f>
        <v>2.3822321536582191E-3</v>
      </c>
      <c r="N34">
        <f>C34*$N$1/'biomass Atlantis'!N34</f>
        <v>6.8232569086301112E-4</v>
      </c>
      <c r="O34">
        <f>D34*$N$1/'biomass Atlantis'!O34</f>
        <v>8.2954765787864853E-3</v>
      </c>
      <c r="P34">
        <f>E34*$N$1/'biomass Atlantis'!P34</f>
        <v>1.3421413397978624E-2</v>
      </c>
      <c r="Q34">
        <f>F34*$N$1/'biomass Atlantis'!Q34</f>
        <v>3.7876837346423491E-3</v>
      </c>
      <c r="R34">
        <f>G34*$N$1/'biomass Atlantis'!R34</f>
        <v>8.3851980730527687E-3</v>
      </c>
      <c r="S34">
        <f>H34*$N$1/'biomass Atlantis'!S34</f>
        <v>2.5783812009621859E-2</v>
      </c>
      <c r="T34">
        <f>I34*$N$1/'biomass Atlantis'!T34</f>
        <v>1.5863385155938591E-3</v>
      </c>
      <c r="U34">
        <f>J34*$N$1/'biomass Atlantis'!U34</f>
        <v>0.12795252010232061</v>
      </c>
      <c r="V34">
        <f>K34*$N$1/'biomass Atlantis'!V34</f>
        <v>2.0699835101627979E-3</v>
      </c>
      <c r="X34">
        <f t="shared" si="1"/>
        <v>2795.1586630000002</v>
      </c>
      <c r="Y34">
        <f t="shared" si="2"/>
        <v>6764.8844719999997</v>
      </c>
      <c r="Z34">
        <f t="shared" si="3"/>
        <v>18268.061857000001</v>
      </c>
      <c r="AA34">
        <f t="shared" si="4"/>
        <v>12940.880415</v>
      </c>
      <c r="AB34">
        <f t="shared" si="5"/>
        <v>1298.077726</v>
      </c>
      <c r="AC34">
        <f t="shared" si="6"/>
        <v>4245.6187879999998</v>
      </c>
      <c r="AD34">
        <f t="shared" si="7"/>
        <v>5135.337982</v>
      </c>
      <c r="AE34">
        <f t="shared" si="8"/>
        <v>3332.79702</v>
      </c>
      <c r="AF34">
        <f t="shared" si="9"/>
        <v>20530.186945000001</v>
      </c>
      <c r="AG34">
        <f t="shared" si="10"/>
        <v>1652.581964</v>
      </c>
      <c r="AI34" s="1">
        <f t="shared" si="11"/>
        <v>1.0984059792123775E-2</v>
      </c>
      <c r="AK34" s="1">
        <f t="shared" si="12"/>
        <v>-1.9592371116672647</v>
      </c>
    </row>
    <row r="35" spans="1:85">
      <c r="A35" s="8">
        <v>1995</v>
      </c>
      <c r="B35">
        <v>2789.8493119999998</v>
      </c>
      <c r="C35">
        <v>6620.3073439999998</v>
      </c>
      <c r="D35">
        <v>25190.581236999999</v>
      </c>
      <c r="E35">
        <v>12840.583185</v>
      </c>
      <c r="F35">
        <v>1186.271604</v>
      </c>
      <c r="G35">
        <v>4382.6195340000004</v>
      </c>
      <c r="H35">
        <v>5079.9638649999997</v>
      </c>
      <c r="I35">
        <v>2621.427072</v>
      </c>
      <c r="J35">
        <v>20114.725428000002</v>
      </c>
      <c r="K35">
        <v>1614.7466549999999</v>
      </c>
      <c r="M35">
        <f>B35*$N$1/'biomass Atlantis'!M35</f>
        <v>2.3961788186951938E-3</v>
      </c>
      <c r="N35">
        <f>C35*$N$1/'biomass Atlantis'!N35</f>
        <v>6.9006718322394778E-4</v>
      </c>
      <c r="O35">
        <f>D35*$N$1/'biomass Atlantis'!O35</f>
        <v>1.0408843239488147E-2</v>
      </c>
      <c r="P35">
        <f>E35*$N$1/'biomass Atlantis'!P35</f>
        <v>1.3493199246171097E-2</v>
      </c>
      <c r="Q35">
        <f>F35*$N$1/'biomass Atlantis'!Q35</f>
        <v>3.6650275448103669E-3</v>
      </c>
      <c r="R35">
        <f>G35*$N$1/'biomass Atlantis'!R35</f>
        <v>8.5678727589366954E-3</v>
      </c>
      <c r="S35">
        <f>H35*$N$1/'biomass Atlantis'!S35</f>
        <v>2.5168422336235986E-2</v>
      </c>
      <c r="T35">
        <f>I35*$N$1/'biomass Atlantis'!T35</f>
        <v>1.4326155188398089E-3</v>
      </c>
      <c r="U35">
        <f>J35*$N$1/'biomass Atlantis'!U35</f>
        <v>0.12613155234803763</v>
      </c>
      <c r="V35">
        <f>K35*$N$1/'biomass Atlantis'!V35</f>
        <v>2.0493830772101091E-3</v>
      </c>
      <c r="X35">
        <f t="shared" si="1"/>
        <v>2789.8493119999998</v>
      </c>
      <c r="Y35">
        <f t="shared" si="2"/>
        <v>6620.3073439999998</v>
      </c>
      <c r="Z35">
        <f t="shared" si="3"/>
        <v>25190.581236999999</v>
      </c>
      <c r="AA35">
        <f t="shared" si="4"/>
        <v>12840.583185</v>
      </c>
      <c r="AB35">
        <f t="shared" si="5"/>
        <v>1186.271604</v>
      </c>
      <c r="AC35">
        <f t="shared" si="6"/>
        <v>4382.6195340000004</v>
      </c>
      <c r="AD35">
        <f t="shared" si="7"/>
        <v>5079.9638649999997</v>
      </c>
      <c r="AE35">
        <f t="shared" si="8"/>
        <v>2621.427072</v>
      </c>
      <c r="AF35">
        <f t="shared" si="9"/>
        <v>20114.725428000002</v>
      </c>
      <c r="AG35">
        <f t="shared" si="10"/>
        <v>1614.7466549999999</v>
      </c>
      <c r="AI35" s="1">
        <f t="shared" si="11"/>
        <v>3.1947293632007693E-3</v>
      </c>
      <c r="AK35" s="1">
        <f t="shared" si="12"/>
        <v>-2.4955659265656163</v>
      </c>
    </row>
    <row r="36" spans="1:85">
      <c r="A36" s="8">
        <v>1996</v>
      </c>
      <c r="B36">
        <v>2868.751753</v>
      </c>
      <c r="C36">
        <v>6497.6742299999996</v>
      </c>
      <c r="D36">
        <v>30951.102112</v>
      </c>
      <c r="E36">
        <v>12691.859012000001</v>
      </c>
      <c r="F36">
        <v>1121.1759360000001</v>
      </c>
      <c r="G36">
        <v>4902.819829</v>
      </c>
      <c r="H36">
        <v>5141.242628</v>
      </c>
      <c r="I36">
        <v>3034.4895489999999</v>
      </c>
      <c r="J36">
        <v>19474.377722000001</v>
      </c>
      <c r="K36">
        <v>1624.5037139999999</v>
      </c>
      <c r="M36">
        <f>B36*$N$1/'biomass Atlantis'!M36</f>
        <v>2.4807099045157841E-3</v>
      </c>
      <c r="N36">
        <f>C36*$N$1/'biomass Atlantis'!N36</f>
        <v>7.0422015807253767E-4</v>
      </c>
      <c r="O36">
        <f>D36*$N$1/'biomass Atlantis'!O36</f>
        <v>1.4118768519339653E-2</v>
      </c>
      <c r="P36">
        <f>E36*$N$1/'biomass Atlantis'!P36</f>
        <v>1.360221707523891E-2</v>
      </c>
      <c r="Q36">
        <f>F36*$N$1/'biomass Atlantis'!Q36</f>
        <v>3.7242124079012598E-3</v>
      </c>
      <c r="R36">
        <f>G36*$N$1/'biomass Atlantis'!R36</f>
        <v>1.0059198628300035E-2</v>
      </c>
      <c r="S36">
        <f>H36*$N$1/'biomass Atlantis'!S36</f>
        <v>2.6211640345252578E-2</v>
      </c>
      <c r="T36">
        <f>I36*$N$1/'biomass Atlantis'!T36</f>
        <v>1.1968170602652216E-3</v>
      </c>
      <c r="U36">
        <f>J36*$N$1/'biomass Atlantis'!U36</f>
        <v>0.12173247887591931</v>
      </c>
      <c r="V36">
        <f>K36*$N$1/'biomass Atlantis'!V36</f>
        <v>2.0864582899535709E-3</v>
      </c>
      <c r="X36">
        <f t="shared" si="1"/>
        <v>2868.751753</v>
      </c>
      <c r="Y36">
        <f t="shared" si="2"/>
        <v>6497.6742299999996</v>
      </c>
      <c r="Z36">
        <f t="shared" si="3"/>
        <v>30951.102112</v>
      </c>
      <c r="AA36">
        <f t="shared" si="4"/>
        <v>12691.859012000001</v>
      </c>
      <c r="AB36">
        <f t="shared" si="5"/>
        <v>1121.1759360000001</v>
      </c>
      <c r="AC36">
        <f t="shared" si="6"/>
        <v>4902.819829</v>
      </c>
      <c r="AD36">
        <f t="shared" si="7"/>
        <v>5141.242628</v>
      </c>
      <c r="AE36">
        <f t="shared" si="8"/>
        <v>3034.4895489999999</v>
      </c>
      <c r="AF36">
        <f t="shared" si="9"/>
        <v>19474.377722000001</v>
      </c>
      <c r="AG36">
        <f t="shared" si="10"/>
        <v>1624.5037139999999</v>
      </c>
      <c r="AI36" s="1">
        <f t="shared" si="11"/>
        <v>7.1042664121576376E-3</v>
      </c>
      <c r="AK36" s="1">
        <f t="shared" si="12"/>
        <v>-2.1484807607485252</v>
      </c>
    </row>
    <row r="37" spans="1:85">
      <c r="A37" s="8">
        <v>1997</v>
      </c>
      <c r="B37">
        <v>2733.9278389999999</v>
      </c>
      <c r="C37">
        <v>6273.593057</v>
      </c>
      <c r="D37">
        <v>34516.366400999999</v>
      </c>
      <c r="E37">
        <v>12615.64759</v>
      </c>
      <c r="F37">
        <v>1035.7113489999999</v>
      </c>
      <c r="G37">
        <v>4329.4929830000001</v>
      </c>
      <c r="H37">
        <v>4821.7655130000003</v>
      </c>
      <c r="I37">
        <v>4724.3861790000001</v>
      </c>
      <c r="J37">
        <v>19396.601659</v>
      </c>
      <c r="K37">
        <v>1626.7870310000001</v>
      </c>
      <c r="M37">
        <f>B37*$N$1/'biomass Atlantis'!M37</f>
        <v>2.2714746385031608E-3</v>
      </c>
      <c r="N37">
        <f>C37*$N$1/'biomass Atlantis'!N37</f>
        <v>6.9755715479261494E-4</v>
      </c>
      <c r="O37">
        <f>D37*$N$1/'biomass Atlantis'!O37</f>
        <v>1.2469694013380762E-2</v>
      </c>
      <c r="P37">
        <f>E37*$N$1/'biomass Atlantis'!P37</f>
        <v>1.3664606265844996E-2</v>
      </c>
      <c r="Q37">
        <f>F37*$N$1/'biomass Atlantis'!Q37</f>
        <v>3.5983546957242228E-3</v>
      </c>
      <c r="R37">
        <f>G37*$N$1/'biomass Atlantis'!R37</f>
        <v>9.2361461608706161E-3</v>
      </c>
      <c r="S37">
        <f>H37*$N$1/'biomass Atlantis'!S37</f>
        <v>2.1975633655403986E-2</v>
      </c>
      <c r="T37">
        <f>I37*$N$1/'biomass Atlantis'!T37</f>
        <v>1.5093156228176518E-3</v>
      </c>
      <c r="U37">
        <f>J37*$N$1/'biomass Atlantis'!U37</f>
        <v>0.12113095714141675</v>
      </c>
      <c r="V37">
        <f>K37*$N$1/'biomass Atlantis'!V37</f>
        <v>2.1020956776808329E-3</v>
      </c>
      <c r="X37">
        <f t="shared" si="1"/>
        <v>2733.9278389999999</v>
      </c>
      <c r="Y37">
        <f t="shared" si="2"/>
        <v>6273.593057</v>
      </c>
      <c r="Z37">
        <f t="shared" si="3"/>
        <v>34516.366400999999</v>
      </c>
      <c r="AA37">
        <f t="shared" si="4"/>
        <v>12615.64759</v>
      </c>
      <c r="AB37">
        <f t="shared" si="5"/>
        <v>1035.7113489999999</v>
      </c>
      <c r="AC37">
        <f t="shared" si="6"/>
        <v>4329.4929830000001</v>
      </c>
      <c r="AD37">
        <f t="shared" si="7"/>
        <v>4821.7655130000003</v>
      </c>
      <c r="AE37">
        <f t="shared" si="8"/>
        <v>4724.3861790000001</v>
      </c>
      <c r="AF37">
        <f t="shared" si="9"/>
        <v>19396.601659</v>
      </c>
      <c r="AG37">
        <f t="shared" si="10"/>
        <v>1626.7870310000001</v>
      </c>
      <c r="AI37" s="1">
        <f t="shared" si="11"/>
        <v>1.8956236091639753E-2</v>
      </c>
      <c r="AK37" s="1">
        <f t="shared" si="12"/>
        <v>-1.7222478909908965</v>
      </c>
    </row>
    <row r="38" spans="1:85">
      <c r="A38" s="8">
        <v>1998</v>
      </c>
      <c r="B38">
        <v>2861.0459689999998</v>
      </c>
      <c r="C38">
        <v>6166.3685610000002</v>
      </c>
      <c r="D38">
        <v>46409.930415000003</v>
      </c>
      <c r="E38">
        <v>12406.548091000001</v>
      </c>
      <c r="F38">
        <v>1058.6518470000001</v>
      </c>
      <c r="G38">
        <v>4234.0265579999996</v>
      </c>
      <c r="H38">
        <v>5218.4902940000002</v>
      </c>
      <c r="I38">
        <v>7313.6337819999999</v>
      </c>
      <c r="J38">
        <v>19579.816094000002</v>
      </c>
      <c r="K38">
        <v>1638.7945380000001</v>
      </c>
      <c r="M38">
        <f>B38*$N$1/'biomass Atlantis'!M38</f>
        <v>2.4084105179554122E-3</v>
      </c>
      <c r="N38">
        <f>C38*$N$1/'biomass Atlantis'!N38</f>
        <v>7.091064636157333E-4</v>
      </c>
      <c r="O38">
        <f>D38*$N$1/'biomass Atlantis'!O38</f>
        <v>1.9087355331190093E-2</v>
      </c>
      <c r="P38">
        <f>E38*$N$1/'biomass Atlantis'!P38</f>
        <v>1.3739478899015682E-2</v>
      </c>
      <c r="Q38">
        <f>F38*$N$1/'biomass Atlantis'!Q38</f>
        <v>3.963147188911679E-3</v>
      </c>
      <c r="R38">
        <f>G38*$N$1/'biomass Atlantis'!R38</f>
        <v>9.0116062417781827E-3</v>
      </c>
      <c r="S38">
        <f>H38*$N$1/'biomass Atlantis'!S38</f>
        <v>2.6451384178311655E-2</v>
      </c>
      <c r="T38">
        <f>I38*$N$1/'biomass Atlantis'!T38</f>
        <v>2.8764007718299202E-3</v>
      </c>
      <c r="U38">
        <f>J38*$N$1/'biomass Atlantis'!U38</f>
        <v>0.12279984680190138</v>
      </c>
      <c r="V38">
        <f>K38*$N$1/'biomass Atlantis'!V38</f>
        <v>2.1310811352207482E-3</v>
      </c>
      <c r="X38">
        <f t="shared" si="1"/>
        <v>2861.0459689999998</v>
      </c>
      <c r="Y38">
        <f t="shared" si="2"/>
        <v>6166.3685610000002</v>
      </c>
      <c r="Z38">
        <f t="shared" si="3"/>
        <v>46409.930415000003</v>
      </c>
      <c r="AA38">
        <f t="shared" si="4"/>
        <v>12406.548091000001</v>
      </c>
      <c r="AB38">
        <f t="shared" si="5"/>
        <v>1058.6518470000001</v>
      </c>
      <c r="AC38">
        <f t="shared" si="6"/>
        <v>4234.0265579999996</v>
      </c>
      <c r="AD38">
        <f t="shared" si="7"/>
        <v>5218.4902940000002</v>
      </c>
      <c r="AE38">
        <f t="shared" si="8"/>
        <v>7313.6337819999999</v>
      </c>
      <c r="AF38">
        <f t="shared" si="9"/>
        <v>19579.816094000002</v>
      </c>
      <c r="AG38">
        <f t="shared" si="10"/>
        <v>1638.7945380000001</v>
      </c>
      <c r="AI38" s="1">
        <f t="shared" si="11"/>
        <v>2.5491899817104778E-2</v>
      </c>
      <c r="AK38" s="1">
        <f t="shared" si="12"/>
        <v>-1.5935977969615138</v>
      </c>
    </row>
    <row r="39" spans="1:85">
      <c r="A39" s="8">
        <v>1999</v>
      </c>
      <c r="B39">
        <v>2885.6725809999998</v>
      </c>
      <c r="C39">
        <v>5901.3352599999998</v>
      </c>
      <c r="D39">
        <v>47500.126052</v>
      </c>
      <c r="E39">
        <v>12088.812813</v>
      </c>
      <c r="F39">
        <v>956.63707999999997</v>
      </c>
      <c r="G39">
        <v>4312.2256440000001</v>
      </c>
      <c r="H39">
        <v>5004.9745579999999</v>
      </c>
      <c r="I39">
        <v>5750.2392129999998</v>
      </c>
      <c r="J39">
        <v>18741.736552999999</v>
      </c>
      <c r="K39">
        <v>1652.350629</v>
      </c>
      <c r="M39">
        <f>B39*$N$1/'biomass Atlantis'!M39</f>
        <v>2.4560614684212313E-3</v>
      </c>
      <c r="N39">
        <f>C39*$N$1/'biomass Atlantis'!N39</f>
        <v>6.9678010555972256E-4</v>
      </c>
      <c r="O39">
        <f>D39*$N$1/'biomass Atlantis'!O39</f>
        <v>2.1504605512979856E-2</v>
      </c>
      <c r="P39">
        <f>E39*$N$1/'biomass Atlantis'!P39</f>
        <v>1.3455998440327925E-2</v>
      </c>
      <c r="Q39">
        <f>F39*$N$1/'biomass Atlantis'!Q39</f>
        <v>3.6966804234008534E-3</v>
      </c>
      <c r="R39">
        <f>G39*$N$1/'biomass Atlantis'!R39</f>
        <v>9.1647181354224845E-3</v>
      </c>
      <c r="S39">
        <f>H39*$N$1/'biomass Atlantis'!S39</f>
        <v>2.4504226765621969E-2</v>
      </c>
      <c r="T39">
        <f>I39*$N$1/'biomass Atlantis'!T39</f>
        <v>1.6774179968429149E-3</v>
      </c>
      <c r="U39">
        <f>J39*$N$1/'biomass Atlantis'!U39</f>
        <v>0.11618683061825071</v>
      </c>
      <c r="V39">
        <f>K39*$N$1/'biomass Atlantis'!V39</f>
        <v>2.1469114109885692E-3</v>
      </c>
      <c r="X39">
        <f t="shared" si="1"/>
        <v>2885.6725809999998</v>
      </c>
      <c r="Y39">
        <f t="shared" si="2"/>
        <v>5901.3352599999998</v>
      </c>
      <c r="Z39">
        <f t="shared" si="3"/>
        <v>47500.126052</v>
      </c>
      <c r="AA39">
        <f t="shared" si="4"/>
        <v>12088.812813</v>
      </c>
      <c r="AB39">
        <f t="shared" si="5"/>
        <v>956.63707999999997</v>
      </c>
      <c r="AC39">
        <f t="shared" si="6"/>
        <v>4312.2256440000001</v>
      </c>
      <c r="AD39">
        <f t="shared" si="7"/>
        <v>5004.9745579999999</v>
      </c>
      <c r="AE39">
        <f t="shared" si="8"/>
        <v>5750.2392129999998</v>
      </c>
      <c r="AF39">
        <f t="shared" si="9"/>
        <v>18741.736552999999</v>
      </c>
      <c r="AG39">
        <f t="shared" si="10"/>
        <v>1652.350629</v>
      </c>
      <c r="AI39" s="1">
        <f t="shared" si="11"/>
        <v>9.4903855330926074E-2</v>
      </c>
      <c r="AK39" s="1">
        <f t="shared" si="12"/>
        <v>-1.0227161446334276</v>
      </c>
    </row>
    <row r="40" spans="1:85">
      <c r="A40" s="8">
        <v>2000</v>
      </c>
      <c r="B40">
        <v>2971.1190660000002</v>
      </c>
      <c r="C40">
        <v>5642.917144</v>
      </c>
      <c r="D40">
        <v>53171.488259999998</v>
      </c>
      <c r="E40">
        <v>11817.744916</v>
      </c>
      <c r="F40">
        <v>946.46885999999995</v>
      </c>
      <c r="G40">
        <v>4041.22957</v>
      </c>
      <c r="H40">
        <v>5118.976866</v>
      </c>
      <c r="I40">
        <v>9988.4696999999996</v>
      </c>
      <c r="J40">
        <v>18795.396831999999</v>
      </c>
      <c r="K40">
        <v>1609.6949890000001</v>
      </c>
      <c r="M40">
        <f>B40*$N$1/'biomass Atlantis'!M40</f>
        <v>2.550445173707774E-3</v>
      </c>
      <c r="N40">
        <f>C40*$N$1/'biomass Atlantis'!N40</f>
        <v>6.8686223735061345E-4</v>
      </c>
      <c r="O40">
        <f>D40*$N$1/'biomass Atlantis'!O40</f>
        <v>2.6730033100473265E-2</v>
      </c>
      <c r="P40">
        <f>E40*$N$1/'biomass Atlantis'!P40</f>
        <v>1.3064464932504271E-2</v>
      </c>
      <c r="Q40">
        <f>F40*$N$1/'biomass Atlantis'!Q40</f>
        <v>3.6466225024691743E-3</v>
      </c>
      <c r="R40">
        <f>G40*$N$1/'biomass Atlantis'!R40</f>
        <v>8.209916423897597E-3</v>
      </c>
      <c r="S40">
        <f>H40*$N$1/'biomass Atlantis'!S40</f>
        <v>2.5799335706489155E-2</v>
      </c>
      <c r="T40">
        <f>I40*$N$1/'biomass Atlantis'!T40</f>
        <v>3.0006149045982158E-3</v>
      </c>
      <c r="U40">
        <f>J40*$N$1/'biomass Atlantis'!U40</f>
        <v>0.11472287706640584</v>
      </c>
      <c r="V40">
        <f>K40*$N$1/'biomass Atlantis'!V40</f>
        <v>2.0657088185699305E-3</v>
      </c>
      <c r="X40">
        <f t="shared" si="1"/>
        <v>2971.1190660000002</v>
      </c>
      <c r="Y40">
        <f t="shared" si="2"/>
        <v>5642.917144</v>
      </c>
      <c r="Z40">
        <f t="shared" si="3"/>
        <v>53171.488259999998</v>
      </c>
      <c r="AA40">
        <f t="shared" si="4"/>
        <v>11817.744916</v>
      </c>
      <c r="AB40">
        <f t="shared" si="5"/>
        <v>946.46885999999995</v>
      </c>
      <c r="AC40">
        <f t="shared" si="6"/>
        <v>4041.22957</v>
      </c>
      <c r="AD40">
        <f t="shared" si="7"/>
        <v>5118.976866</v>
      </c>
      <c r="AE40">
        <f t="shared" si="8"/>
        <v>9988.4696999999996</v>
      </c>
      <c r="AF40">
        <f t="shared" si="9"/>
        <v>18795.396831999999</v>
      </c>
      <c r="AG40">
        <f t="shared" si="10"/>
        <v>1609.6949890000001</v>
      </c>
      <c r="AI40" s="1">
        <f t="shared" si="11"/>
        <v>0</v>
      </c>
      <c r="AK40" s="1" t="e">
        <f t="shared" si="12"/>
        <v>#NUM!</v>
      </c>
    </row>
    <row r="41" spans="1:85">
      <c r="A41" s="8">
        <v>2001</v>
      </c>
      <c r="B41">
        <v>2939.5121690000001</v>
      </c>
      <c r="C41">
        <v>5349.5453040000002</v>
      </c>
      <c r="D41">
        <v>51524.889323000003</v>
      </c>
      <c r="E41">
        <v>11649.587937</v>
      </c>
      <c r="F41">
        <v>878.17916500000001</v>
      </c>
      <c r="G41">
        <v>4192.0873080000001</v>
      </c>
      <c r="H41">
        <v>4991.8992609999996</v>
      </c>
      <c r="I41">
        <v>11025.068055</v>
      </c>
      <c r="J41">
        <v>18664.544277000001</v>
      </c>
      <c r="K41">
        <v>1611.460239</v>
      </c>
      <c r="M41">
        <f>B41*$N$1/'biomass Atlantis'!M41</f>
        <v>2.4495839196135801E-3</v>
      </c>
      <c r="N41">
        <f>C41*$N$1/'biomass Atlantis'!N41</f>
        <v>6.6556975045344317E-4</v>
      </c>
      <c r="O41">
        <f>D41*$N$1/'biomass Atlantis'!O41</f>
        <v>2.2665992195797759E-2</v>
      </c>
      <c r="P41">
        <f>E41*$N$1/'biomass Atlantis'!P41</f>
        <v>1.2629888867650594E-2</v>
      </c>
      <c r="Q41">
        <f>F41*$N$1/'biomass Atlantis'!Q41</f>
        <v>3.1762989606634131E-3</v>
      </c>
      <c r="R41">
        <f>G41*$N$1/'biomass Atlantis'!R41</f>
        <v>7.9630316097337416E-3</v>
      </c>
      <c r="S41">
        <f>H41*$N$1/'biomass Atlantis'!S41</f>
        <v>2.3894368819211725E-2</v>
      </c>
      <c r="T41">
        <f>I41*$N$1/'biomass Atlantis'!T41</f>
        <v>2.7494521621639575E-3</v>
      </c>
      <c r="U41">
        <f>J41*$N$1/'biomass Atlantis'!U41</f>
        <v>0.11160286437811857</v>
      </c>
      <c r="V41">
        <f>K41*$N$1/'biomass Atlantis'!V41</f>
        <v>2.0249442953851199E-3</v>
      </c>
      <c r="X41">
        <f t="shared" si="1"/>
        <v>2939.5121690000001</v>
      </c>
      <c r="Y41">
        <f t="shared" si="2"/>
        <v>5349.5453040000002</v>
      </c>
      <c r="Z41">
        <f t="shared" si="3"/>
        <v>51524.889323000003</v>
      </c>
      <c r="AA41">
        <f t="shared" si="4"/>
        <v>11649.587937</v>
      </c>
      <c r="AB41">
        <f t="shared" si="5"/>
        <v>878.17916500000001</v>
      </c>
      <c r="AC41">
        <f t="shared" si="6"/>
        <v>4192.0873080000001</v>
      </c>
      <c r="AD41">
        <f t="shared" si="7"/>
        <v>4991.8992609999996</v>
      </c>
      <c r="AE41">
        <f t="shared" si="8"/>
        <v>11025.068055</v>
      </c>
      <c r="AF41">
        <f t="shared" si="9"/>
        <v>18664.544277000001</v>
      </c>
      <c r="AG41">
        <f t="shared" si="10"/>
        <v>1611.460239</v>
      </c>
      <c r="AI41" s="1"/>
    </row>
    <row r="42" spans="1:85">
      <c r="A42" s="8">
        <v>2002</v>
      </c>
      <c r="B42">
        <v>2873.0860250000001</v>
      </c>
      <c r="C42">
        <v>5077.5734060000004</v>
      </c>
      <c r="D42">
        <v>65926.931674000007</v>
      </c>
      <c r="E42">
        <v>11655.362558999999</v>
      </c>
      <c r="F42">
        <v>950.96548800000005</v>
      </c>
      <c r="G42">
        <v>4328.2796820000003</v>
      </c>
      <c r="H42">
        <v>4935.5954490000004</v>
      </c>
      <c r="I42">
        <v>15364.96053</v>
      </c>
      <c r="J42">
        <v>18386.140574000001</v>
      </c>
      <c r="K42">
        <v>1603.9935250000001</v>
      </c>
      <c r="M42">
        <f>B42*$N$1/'biomass Atlantis'!M42</f>
        <v>2.4159914947233692E-3</v>
      </c>
      <c r="N42">
        <f>C42*$N$1/'biomass Atlantis'!N42</f>
        <v>6.4081812106848415E-4</v>
      </c>
      <c r="O42">
        <f>D42*$N$1/'biomass Atlantis'!O42</f>
        <v>3.1832972703881454E-2</v>
      </c>
      <c r="P42">
        <f>E42*$N$1/'biomass Atlantis'!P42</f>
        <v>1.2245595432103492E-2</v>
      </c>
      <c r="Q42">
        <f>F42*$N$1/'biomass Atlantis'!Q42</f>
        <v>3.139798871355663E-3</v>
      </c>
      <c r="R42">
        <f>G42*$N$1/'biomass Atlantis'!R42</f>
        <v>7.6478443040678273E-3</v>
      </c>
      <c r="S42">
        <f>H42*$N$1/'biomass Atlantis'!S42</f>
        <v>2.2233023103215226E-2</v>
      </c>
      <c r="T42">
        <f>I42*$N$1/'biomass Atlantis'!T42</f>
        <v>4.8785211497223814E-3</v>
      </c>
      <c r="U42">
        <f>J42*$N$1/'biomass Atlantis'!U42</f>
        <v>0.10692179469526884</v>
      </c>
      <c r="V42">
        <f>K42*$N$1/'biomass Atlantis'!V42</f>
        <v>1.9463526388111235E-3</v>
      </c>
      <c r="X42">
        <f t="shared" si="1"/>
        <v>2873.0860250000001</v>
      </c>
      <c r="Y42">
        <f t="shared" si="2"/>
        <v>5077.5734060000004</v>
      </c>
      <c r="Z42">
        <f t="shared" si="3"/>
        <v>65926.931674000007</v>
      </c>
      <c r="AA42">
        <f t="shared" si="4"/>
        <v>11655.362558999999</v>
      </c>
      <c r="AB42">
        <f t="shared" si="5"/>
        <v>950.96548800000005</v>
      </c>
      <c r="AC42">
        <f t="shared" si="6"/>
        <v>4328.2796820000003</v>
      </c>
      <c r="AD42">
        <f t="shared" si="7"/>
        <v>4935.5954490000004</v>
      </c>
      <c r="AE42">
        <f t="shared" si="8"/>
        <v>15364.96053</v>
      </c>
      <c r="AF42">
        <f t="shared" si="9"/>
        <v>18386.140574000001</v>
      </c>
      <c r="AG42">
        <f t="shared" si="10"/>
        <v>1603.9935250000001</v>
      </c>
      <c r="AI42" s="1" t="s">
        <v>251</v>
      </c>
    </row>
    <row r="43" spans="1:85">
      <c r="A43" s="8">
        <v>2003</v>
      </c>
      <c r="B43">
        <v>2905.8942160000001</v>
      </c>
      <c r="C43">
        <v>4844.899418</v>
      </c>
      <c r="D43">
        <v>68600.921262999997</v>
      </c>
      <c r="E43">
        <v>11782.842565000001</v>
      </c>
      <c r="F43">
        <v>995.42760499999997</v>
      </c>
      <c r="G43">
        <v>4601.6661009999998</v>
      </c>
      <c r="H43">
        <v>4938.4706779999997</v>
      </c>
      <c r="I43">
        <v>14373.865256999999</v>
      </c>
      <c r="J43">
        <v>18226.624586000002</v>
      </c>
      <c r="K43">
        <v>1631.112022</v>
      </c>
      <c r="M43">
        <f>B43*$N$1/'biomass Atlantis'!M43</f>
        <v>2.4542572366675315E-3</v>
      </c>
      <c r="N43">
        <f>C43*$N$1/'biomass Atlantis'!N43</f>
        <v>6.1645634436827503E-4</v>
      </c>
      <c r="O43">
        <f>D43*$N$1/'biomass Atlantis'!O43</f>
        <v>3.7539979455574995E-2</v>
      </c>
      <c r="P43">
        <f>E43*$N$1/'biomass Atlantis'!P43</f>
        <v>1.1882653116220727E-2</v>
      </c>
      <c r="Q43">
        <f>F43*$N$1/'biomass Atlantis'!Q43</f>
        <v>2.8724289043236171E-3</v>
      </c>
      <c r="R43">
        <f>G43*$N$1/'biomass Atlantis'!R43</f>
        <v>7.528881029754012E-3</v>
      </c>
      <c r="S43">
        <f>H43*$N$1/'biomass Atlantis'!S43</f>
        <v>2.1243761763506102E-2</v>
      </c>
      <c r="T43">
        <f>I43*$N$1/'biomass Atlantis'!T43</f>
        <v>3.6337486161689895E-3</v>
      </c>
      <c r="U43">
        <f>J43*$N$1/'biomass Atlantis'!U43</f>
        <v>0.10286505624308227</v>
      </c>
      <c r="V43">
        <f>K43*$N$1/'biomass Atlantis'!V43</f>
        <v>1.8978504394793791E-3</v>
      </c>
      <c r="X43">
        <f t="shared" si="1"/>
        <v>2905.8942160000001</v>
      </c>
      <c r="Y43">
        <f t="shared" si="2"/>
        <v>4844.899418</v>
      </c>
      <c r="Z43">
        <f t="shared" si="3"/>
        <v>68600.921262999997</v>
      </c>
      <c r="AA43">
        <f t="shared" si="4"/>
        <v>11782.842565000001</v>
      </c>
      <c r="AB43">
        <f t="shared" si="5"/>
        <v>995.42760499999997</v>
      </c>
      <c r="AC43">
        <f t="shared" si="6"/>
        <v>4601.6661009999998</v>
      </c>
      <c r="AD43">
        <f t="shared" si="7"/>
        <v>4938.4706779999997</v>
      </c>
      <c r="AE43">
        <f t="shared" si="8"/>
        <v>14373.865256999999</v>
      </c>
      <c r="AF43">
        <f t="shared" si="9"/>
        <v>18226.624586000002</v>
      </c>
      <c r="AG43">
        <f t="shared" si="10"/>
        <v>1631.112022</v>
      </c>
      <c r="AI43" s="1">
        <f t="shared" ref="AI43:AI51" si="13">LOG10(AI17)-$AK31</f>
        <v>-0.30370383628479036</v>
      </c>
      <c r="AJ43" s="1">
        <f t="shared" ref="AJ43:CG48" si="14">LOG10(AJ17)-$AK31</f>
        <v>-0.29779916491866709</v>
      </c>
      <c r="AK43" s="1">
        <f t="shared" si="14"/>
        <v>-0.26958145350677043</v>
      </c>
      <c r="AL43" s="1">
        <f t="shared" si="14"/>
        <v>-0.28074787882950725</v>
      </c>
      <c r="AM43" s="1">
        <f t="shared" si="14"/>
        <v>-0.21320243282162332</v>
      </c>
      <c r="AN43" s="1">
        <f t="shared" si="14"/>
        <v>-0.25578155080467146</v>
      </c>
      <c r="AO43" s="1">
        <f t="shared" si="14"/>
        <v>-0.22774463647247334</v>
      </c>
      <c r="AP43" s="1">
        <f t="shared" si="14"/>
        <v>-0.2320281593494431</v>
      </c>
      <c r="AQ43" s="1">
        <f t="shared" si="14"/>
        <v>-0.23223636110294921</v>
      </c>
      <c r="AR43" s="1">
        <f t="shared" si="14"/>
        <v>-0.20853765472399211</v>
      </c>
      <c r="AS43" s="1">
        <f t="shared" si="14"/>
        <v>-0.16101704410361473</v>
      </c>
      <c r="AT43" s="1">
        <f t="shared" si="14"/>
        <v>-0.14940257480577923</v>
      </c>
      <c r="AU43" s="1">
        <f t="shared" si="14"/>
        <v>-0.13179150659744199</v>
      </c>
      <c r="AV43" s="1">
        <f t="shared" si="14"/>
        <v>-8.464625396952874E-2</v>
      </c>
      <c r="AW43" s="1">
        <f t="shared" si="14"/>
        <v>-7.4146647597004733E-2</v>
      </c>
      <c r="AX43" s="1">
        <f t="shared" si="14"/>
        <v>-5.7432105388661281E-2</v>
      </c>
      <c r="AY43" s="1">
        <f t="shared" si="14"/>
        <v>-3.1130871485602896E-2</v>
      </c>
      <c r="AZ43" s="1">
        <f t="shared" si="14"/>
        <v>-6.2918470291242201E-3</v>
      </c>
      <c r="BA43" s="1">
        <f t="shared" si="14"/>
        <v>4.5150245399687705E-3</v>
      </c>
      <c r="BB43" s="1">
        <f t="shared" si="14"/>
        <v>1.4818708922254675E-2</v>
      </c>
      <c r="BC43" s="1">
        <f t="shared" si="14"/>
        <v>2.1642965697416638E-2</v>
      </c>
      <c r="BD43" s="1">
        <f t="shared" si="14"/>
        <v>-5.19701466129594E-2</v>
      </c>
      <c r="BE43" s="1">
        <f t="shared" si="14"/>
        <v>1.932951291580709E-2</v>
      </c>
      <c r="BF43" s="1">
        <f t="shared" si="14"/>
        <v>1.963931782807693E-2</v>
      </c>
      <c r="BG43" s="1">
        <f t="shared" si="14"/>
        <v>9.7285185219151415E-3</v>
      </c>
      <c r="BH43" s="1">
        <f t="shared" si="14"/>
        <v>2.1630359471086269E-2</v>
      </c>
      <c r="BI43" s="1">
        <f t="shared" si="14"/>
        <v>1.5895866348336174E-2</v>
      </c>
      <c r="BJ43" s="1">
        <f t="shared" si="14"/>
        <v>-1.2121605555307724E-2</v>
      </c>
      <c r="BK43" s="1">
        <f t="shared" si="14"/>
        <v>3.3849973388495158E-2</v>
      </c>
      <c r="BL43" s="1">
        <f t="shared" si="14"/>
        <v>3.7068315359985338E-2</v>
      </c>
      <c r="BM43" s="1">
        <f t="shared" si="14"/>
        <v>2.1515056923989029E-2</v>
      </c>
      <c r="BN43" s="1">
        <f t="shared" si="14"/>
        <v>2.4050199631805658E-2</v>
      </c>
      <c r="BO43" s="1">
        <f t="shared" si="14"/>
        <v>3.9106955404279553E-2</v>
      </c>
      <c r="BP43" s="1">
        <f t="shared" si="14"/>
        <v>8.3886696906532165E-4</v>
      </c>
      <c r="BQ43" s="1">
        <f t="shared" si="14"/>
        <v>2.6261489961687978E-2</v>
      </c>
      <c r="BR43" s="1">
        <f t="shared" si="14"/>
        <v>3.4770206575579721E-2</v>
      </c>
      <c r="BS43" s="1">
        <f t="shared" si="14"/>
        <v>5.1146966827447127E-2</v>
      </c>
      <c r="BT43" s="1">
        <f t="shared" si="14"/>
        <v>3.3623297202460378E-2</v>
      </c>
      <c r="BU43" s="1">
        <f t="shared" si="14"/>
        <v>2.7626375839358008E-2</v>
      </c>
      <c r="BV43" s="1">
        <f t="shared" si="14"/>
        <v>3.4451055018611232E-2</v>
      </c>
      <c r="BW43" s="1">
        <f t="shared" si="14"/>
        <v>-2.4913494979374562E-2</v>
      </c>
      <c r="BX43" s="1">
        <f t="shared" si="14"/>
        <v>5.3543006757012623E-2</v>
      </c>
      <c r="BY43" s="1">
        <f t="shared" si="14"/>
        <v>0.12371159617899963</v>
      </c>
      <c r="BZ43" s="1">
        <f t="shared" si="14"/>
        <v>0.18360103363152147</v>
      </c>
      <c r="CA43" s="1">
        <f t="shared" si="14"/>
        <v>0.21485433364270445</v>
      </c>
      <c r="CB43" s="1">
        <f t="shared" si="14"/>
        <v>0.19426686682822725</v>
      </c>
      <c r="CC43" s="1">
        <f t="shared" si="14"/>
        <v>0.17353404741573319</v>
      </c>
      <c r="CD43" s="1">
        <f t="shared" si="14"/>
        <v>0.18908751825554226</v>
      </c>
      <c r="CE43" s="1">
        <f t="shared" si="14"/>
        <v>0.18783046360526967</v>
      </c>
      <c r="CF43" s="1">
        <f t="shared" si="14"/>
        <v>0.1783616860076509</v>
      </c>
      <c r="CG43" s="1">
        <f t="shared" si="14"/>
        <v>0.18730659013139217</v>
      </c>
    </row>
    <row r="44" spans="1:85">
      <c r="A44" s="8">
        <v>2004</v>
      </c>
      <c r="B44">
        <v>2770.5025690000002</v>
      </c>
      <c r="C44">
        <v>4718.1857099999997</v>
      </c>
      <c r="D44">
        <v>71773.226406000002</v>
      </c>
      <c r="E44">
        <v>12212.087820999999</v>
      </c>
      <c r="F44">
        <v>1129.7362740000001</v>
      </c>
      <c r="G44">
        <v>5220.9167200000002</v>
      </c>
      <c r="H44">
        <v>5056.5402050000002</v>
      </c>
      <c r="I44">
        <v>19629.317752999999</v>
      </c>
      <c r="J44">
        <v>18262.497490000002</v>
      </c>
      <c r="K44">
        <v>1668.4827580000001</v>
      </c>
      <c r="M44">
        <f>B44*$N$1/'biomass Atlantis'!M44</f>
        <v>2.1406986256374948E-3</v>
      </c>
      <c r="N44">
        <f>C44*$N$1/'biomass Atlantis'!N44</f>
        <v>6.0536280025673297E-4</v>
      </c>
      <c r="O44">
        <f>D44*$N$1/'biomass Atlantis'!O44</f>
        <v>2.8154128220049215E-2</v>
      </c>
      <c r="P44">
        <f>E44*$N$1/'biomass Atlantis'!P44</f>
        <v>1.1814681476559334E-2</v>
      </c>
      <c r="Q44">
        <f>F44*$N$1/'biomass Atlantis'!Q44</f>
        <v>2.8611990807379281E-3</v>
      </c>
      <c r="R44">
        <f>G44*$N$1/'biomass Atlantis'!R44</f>
        <v>8.2089726009471758E-3</v>
      </c>
      <c r="S44">
        <f>H44*$N$1/'biomass Atlantis'!S44</f>
        <v>2.2124744404205168E-2</v>
      </c>
      <c r="T44">
        <f>I44*$N$1/'biomass Atlantis'!T44</f>
        <v>6.5825416746149333E-3</v>
      </c>
      <c r="U44">
        <f>J44*$N$1/'biomass Atlantis'!U44</f>
        <v>0.10050259754557589</v>
      </c>
      <c r="V44">
        <f>K44*$N$1/'biomass Atlantis'!V44</f>
        <v>1.8848875329004996E-3</v>
      </c>
      <c r="X44">
        <f t="shared" si="1"/>
        <v>2770.5025690000002</v>
      </c>
      <c r="Y44">
        <f t="shared" si="2"/>
        <v>4718.1857099999997</v>
      </c>
      <c r="Z44">
        <f t="shared" si="3"/>
        <v>71773.226406000002</v>
      </c>
      <c r="AA44">
        <f t="shared" si="4"/>
        <v>12212.087820999999</v>
      </c>
      <c r="AB44">
        <f t="shared" si="5"/>
        <v>1129.7362740000001</v>
      </c>
      <c r="AC44">
        <f t="shared" si="6"/>
        <v>5220.9167200000002</v>
      </c>
      <c r="AD44">
        <f t="shared" si="7"/>
        <v>5056.5402050000002</v>
      </c>
      <c r="AE44">
        <f t="shared" si="8"/>
        <v>19629.317752999999</v>
      </c>
      <c r="AF44">
        <f t="shared" si="9"/>
        <v>18262.497490000002</v>
      </c>
      <c r="AG44">
        <f t="shared" si="10"/>
        <v>1668.4827580000001</v>
      </c>
      <c r="AI44" s="1">
        <f t="shared" si="13"/>
        <v>-0.32266104531750051</v>
      </c>
      <c r="AJ44" s="1">
        <f t="shared" ref="AJ44:AX44" si="15">LOG10(AJ18)-$AK32</f>
        <v>-0.43899178844982911</v>
      </c>
      <c r="AK44" s="1">
        <f t="shared" si="15"/>
        <v>-0.48838544078561075</v>
      </c>
      <c r="AL44" s="1">
        <f t="shared" si="15"/>
        <v>-0.51307287998124584</v>
      </c>
      <c r="AM44" s="1">
        <f t="shared" si="15"/>
        <v>-0.506841591931388</v>
      </c>
      <c r="AN44" s="1">
        <f t="shared" si="15"/>
        <v>-0.48562350712147451</v>
      </c>
      <c r="AO44" s="1">
        <f t="shared" si="15"/>
        <v>-0.45672854306578348</v>
      </c>
      <c r="AP44" s="1">
        <f t="shared" si="15"/>
        <v>-0.41503290461016462</v>
      </c>
      <c r="AQ44" s="1">
        <f t="shared" si="15"/>
        <v>-0.38518827139476297</v>
      </c>
      <c r="AR44" s="1">
        <f t="shared" si="15"/>
        <v>-0.35319346156378595</v>
      </c>
      <c r="AS44" s="1">
        <f t="shared" si="15"/>
        <v>-0.31033177591283767</v>
      </c>
      <c r="AT44" s="1">
        <f t="shared" si="15"/>
        <v>-0.28231255304589142</v>
      </c>
      <c r="AU44" s="1">
        <f t="shared" si="15"/>
        <v>-0.24529985178067992</v>
      </c>
      <c r="AV44" s="1">
        <f t="shared" si="15"/>
        <v>-0.19338321308842676</v>
      </c>
      <c r="AW44" s="1">
        <f t="shared" si="15"/>
        <v>-0.16330439297372612</v>
      </c>
      <c r="AX44" s="1">
        <f t="shared" si="15"/>
        <v>-0.12712788743808323</v>
      </c>
      <c r="AY44" s="1">
        <f t="shared" si="14"/>
        <v>-7.3233800818955697E-2</v>
      </c>
      <c r="AZ44" s="1">
        <f t="shared" si="14"/>
        <v>-5.3245211026242245E-2</v>
      </c>
      <c r="BA44" s="1">
        <f t="shared" si="14"/>
        <v>-2.4806392145366285E-2</v>
      </c>
      <c r="BB44" s="1">
        <f t="shared" si="14"/>
        <v>1.5863373908835854E-2</v>
      </c>
      <c r="BC44" s="1">
        <f t="shared" si="14"/>
        <v>3.4053308248768843E-2</v>
      </c>
      <c r="BD44" s="1">
        <f t="shared" si="14"/>
        <v>5.0774363980413018E-2</v>
      </c>
      <c r="BE44" s="1">
        <f t="shared" si="14"/>
        <v>9.5512025859605831E-2</v>
      </c>
      <c r="BF44" s="1">
        <f t="shared" si="14"/>
        <v>0.11240031271331619</v>
      </c>
      <c r="BG44" s="1">
        <f t="shared" si="14"/>
        <v>0.13947906499293294</v>
      </c>
      <c r="BH44" s="1">
        <f t="shared" si="14"/>
        <v>0.15692675678740109</v>
      </c>
      <c r="BI44" s="1">
        <f t="shared" si="14"/>
        <v>0.1473131773427836</v>
      </c>
      <c r="BJ44" s="1">
        <f t="shared" si="14"/>
        <v>0.14489920907882015</v>
      </c>
      <c r="BK44" s="1">
        <f t="shared" si="14"/>
        <v>0.14879966006858636</v>
      </c>
      <c r="BL44" s="1">
        <f t="shared" si="14"/>
        <v>0.15264804900753504</v>
      </c>
      <c r="BM44" s="1">
        <f t="shared" si="14"/>
        <v>0.15126942145716171</v>
      </c>
      <c r="BN44" s="1">
        <f t="shared" si="14"/>
        <v>0.15616907248001688</v>
      </c>
      <c r="BO44" s="1">
        <f t="shared" si="14"/>
        <v>0.1649861503043577</v>
      </c>
      <c r="BP44" s="1">
        <f t="shared" si="14"/>
        <v>0.16085749545452632</v>
      </c>
      <c r="BQ44" s="1">
        <f t="shared" si="14"/>
        <v>0.16798914190859149</v>
      </c>
      <c r="BR44" s="1">
        <f t="shared" si="14"/>
        <v>0.16037344007059007</v>
      </c>
      <c r="BS44" s="1">
        <f t="shared" si="14"/>
        <v>0.15414733803171421</v>
      </c>
      <c r="BT44" s="1">
        <f t="shared" si="14"/>
        <v>0.14047127329183695</v>
      </c>
      <c r="BU44" s="1">
        <f t="shared" si="14"/>
        <v>0.12401248209268534</v>
      </c>
      <c r="BV44" s="1">
        <f t="shared" si="14"/>
        <v>0.10718002441248276</v>
      </c>
      <c r="BW44" s="1">
        <f t="shared" si="14"/>
        <v>9.9293427755929642E-2</v>
      </c>
      <c r="BX44" s="1">
        <f t="shared" si="14"/>
        <v>9.0967540894630883E-2</v>
      </c>
      <c r="BY44" s="1">
        <f t="shared" si="14"/>
        <v>8.1290997796355846E-2</v>
      </c>
      <c r="BZ44" s="1">
        <f t="shared" si="14"/>
        <v>7.4031250535347315E-2</v>
      </c>
      <c r="CA44" s="1">
        <f t="shared" si="14"/>
        <v>6.0209001748911639E-2</v>
      </c>
      <c r="CB44" s="1">
        <f t="shared" si="14"/>
        <v>5.5477830166473119E-2</v>
      </c>
      <c r="CC44" s="1">
        <f t="shared" si="14"/>
        <v>5.220268283750551E-2</v>
      </c>
      <c r="CD44" s="1">
        <f t="shared" si="14"/>
        <v>4.7552282834844917E-2</v>
      </c>
      <c r="CE44" s="1">
        <f t="shared" si="14"/>
        <v>3.8411956997863594E-2</v>
      </c>
      <c r="CF44" s="1">
        <f t="shared" si="14"/>
        <v>3.1775541010242492E-2</v>
      </c>
      <c r="CG44" s="1">
        <f t="shared" si="14"/>
        <v>2.9653063914137689E-2</v>
      </c>
    </row>
    <row r="45" spans="1:85">
      <c r="A45" s="8">
        <v>2005</v>
      </c>
      <c r="B45">
        <v>3222.8972950000002</v>
      </c>
      <c r="C45">
        <v>4612.3149569999996</v>
      </c>
      <c r="D45">
        <v>105211.671667</v>
      </c>
      <c r="E45">
        <v>12723.628692</v>
      </c>
      <c r="F45">
        <v>1322.89059</v>
      </c>
      <c r="G45">
        <v>5492.5781850000003</v>
      </c>
      <c r="H45">
        <v>4783.4277350000002</v>
      </c>
      <c r="I45">
        <v>14218.210268000001</v>
      </c>
      <c r="J45">
        <v>18886.987800999999</v>
      </c>
      <c r="K45">
        <v>1671.2992159999999</v>
      </c>
      <c r="M45">
        <f>B45*$N$1/'biomass Atlantis'!M45</f>
        <v>2.564555085628085E-3</v>
      </c>
      <c r="N45">
        <f>C45*$N$1/'biomass Atlantis'!N45</f>
        <v>5.9386788878538826E-4</v>
      </c>
      <c r="O45">
        <f>D45*$N$1/'biomass Atlantis'!O45</f>
        <v>3.9846366099825607E-2</v>
      </c>
      <c r="P45">
        <f>E45*$N$1/'biomass Atlantis'!P45</f>
        <v>1.1809770240026891E-2</v>
      </c>
      <c r="Q45">
        <f>F45*$N$1/'biomass Atlantis'!Q45</f>
        <v>3.0507889445680883E-3</v>
      </c>
      <c r="R45">
        <f>G45*$N$1/'biomass Atlantis'!R45</f>
        <v>8.4847224725144964E-3</v>
      </c>
      <c r="S45">
        <f>H45*$N$1/'biomass Atlantis'!S45</f>
        <v>1.893072785302588E-2</v>
      </c>
      <c r="T45">
        <f>I45*$N$1/'biomass Atlantis'!T45</f>
        <v>4.7052224432321274E-3</v>
      </c>
      <c r="U45">
        <f>J45*$N$1/'biomass Atlantis'!U45</f>
        <v>0.10213140535112154</v>
      </c>
      <c r="V45">
        <f>K45*$N$1/'biomass Atlantis'!V45</f>
        <v>1.8325540791151273E-3</v>
      </c>
      <c r="X45">
        <f t="shared" si="1"/>
        <v>3222.8972950000002</v>
      </c>
      <c r="Y45">
        <f t="shared" si="2"/>
        <v>4612.3149569999996</v>
      </c>
      <c r="Z45">
        <f t="shared" si="3"/>
        <v>105211.671667</v>
      </c>
      <c r="AA45">
        <f t="shared" si="4"/>
        <v>12723.628692</v>
      </c>
      <c r="AB45">
        <f t="shared" si="5"/>
        <v>1322.89059</v>
      </c>
      <c r="AC45">
        <f t="shared" si="6"/>
        <v>5492.5781850000003</v>
      </c>
      <c r="AD45">
        <f t="shared" si="7"/>
        <v>4783.4277350000002</v>
      </c>
      <c r="AE45">
        <f t="shared" si="8"/>
        <v>14218.210268000001</v>
      </c>
      <c r="AF45">
        <f t="shared" si="9"/>
        <v>18886.987800999999</v>
      </c>
      <c r="AG45">
        <f t="shared" si="10"/>
        <v>1671.2992159999999</v>
      </c>
      <c r="AI45" s="1">
        <f t="shared" si="13"/>
        <v>-0.18220602936663677</v>
      </c>
      <c r="AJ45" s="1">
        <f t="shared" si="14"/>
        <v>-0.12155902020729425</v>
      </c>
      <c r="AK45" s="1">
        <f t="shared" si="14"/>
        <v>-4.6070373270651555E-2</v>
      </c>
      <c r="AL45" s="1">
        <f t="shared" si="14"/>
        <v>4.691924858204044E-2</v>
      </c>
      <c r="AM45" s="1">
        <f t="shared" si="14"/>
        <v>0.15258053024422247</v>
      </c>
      <c r="AN45" s="1">
        <f t="shared" si="14"/>
        <v>0.25604177928223282</v>
      </c>
      <c r="AO45" s="1">
        <f t="shared" si="14"/>
        <v>0.3597726378477113</v>
      </c>
      <c r="AP45" s="1">
        <f t="shared" si="14"/>
        <v>0.4319840636213742</v>
      </c>
      <c r="AQ45" s="1">
        <f t="shared" si="14"/>
        <v>0.52217993880612479</v>
      </c>
      <c r="AR45" s="1">
        <f t="shared" si="14"/>
        <v>0.57872867514735726</v>
      </c>
      <c r="AS45" s="1">
        <f t="shared" si="14"/>
        <v>0.60082398528542569</v>
      </c>
      <c r="AT45" s="1">
        <f t="shared" si="14"/>
        <v>0.55886141704538184</v>
      </c>
      <c r="AU45" s="1">
        <f t="shared" si="14"/>
        <v>0.65198811496209852</v>
      </c>
      <c r="AV45" s="1">
        <f t="shared" si="14"/>
        <v>0.71844903784375802</v>
      </c>
      <c r="AW45" s="1">
        <f t="shared" si="14"/>
        <v>-1.2248518201698402</v>
      </c>
      <c r="AX45" s="1">
        <f t="shared" si="14"/>
        <v>-1.1953428430453727</v>
      </c>
      <c r="AY45" s="1">
        <f t="shared" si="14"/>
        <v>-1.120913487328961</v>
      </c>
      <c r="AZ45" s="1">
        <f t="shared" si="14"/>
        <v>-1.0910149404311591</v>
      </c>
      <c r="BA45" s="1">
        <f t="shared" si="14"/>
        <v>-1.105688569114708</v>
      </c>
      <c r="BB45" s="1">
        <f t="shared" si="14"/>
        <v>-1.2151039225632543</v>
      </c>
      <c r="BC45" s="1">
        <f t="shared" si="14"/>
        <v>-1.1177427202616355</v>
      </c>
      <c r="BD45" s="1">
        <f t="shared" si="14"/>
        <v>-1.0485635758205785</v>
      </c>
      <c r="BE45" s="1">
        <f t="shared" si="14"/>
        <v>-0.97039254877691761</v>
      </c>
      <c r="BF45" s="1">
        <f t="shared" si="14"/>
        <v>-0.88595003541608941</v>
      </c>
      <c r="BG45" s="1">
        <f t="shared" si="14"/>
        <v>-0.83794710937829509</v>
      </c>
      <c r="BH45" s="1">
        <f t="shared" si="14"/>
        <v>-0.79207836894999106</v>
      </c>
      <c r="BI45" s="1">
        <f t="shared" si="14"/>
        <v>-0.80580439848594909</v>
      </c>
      <c r="BJ45" s="1">
        <f t="shared" si="14"/>
        <v>-0.82767279417070005</v>
      </c>
      <c r="BK45" s="1">
        <f t="shared" si="14"/>
        <v>-0.77948723326029445</v>
      </c>
      <c r="BL45" s="1">
        <f t="shared" si="14"/>
        <v>-0.80943555887120278</v>
      </c>
      <c r="BM45" s="1">
        <f t="shared" si="14"/>
        <v>-0.89356641428966999</v>
      </c>
      <c r="BN45" s="1">
        <f t="shared" si="14"/>
        <v>-0.79500528780471136</v>
      </c>
      <c r="BO45" s="1">
        <f t="shared" si="14"/>
        <v>-0.66261093785500136</v>
      </c>
      <c r="BP45" s="1">
        <f t="shared" si="14"/>
        <v>-0.71655195906838798</v>
      </c>
      <c r="BQ45" s="1">
        <f t="shared" si="14"/>
        <v>-0.53166199734784203</v>
      </c>
      <c r="BR45" s="1">
        <f t="shared" si="14"/>
        <v>-0.47987627564302837</v>
      </c>
      <c r="BS45" s="1">
        <f t="shared" si="14"/>
        <v>-0.3854082592215593</v>
      </c>
      <c r="BT45" s="1">
        <f t="shared" si="14"/>
        <v>-0.45703302087794784</v>
      </c>
      <c r="BU45" s="1">
        <f t="shared" si="14"/>
        <v>-0.30953055892056391</v>
      </c>
      <c r="BV45" s="1">
        <f t="shared" si="14"/>
        <v>-0.23791372516625375</v>
      </c>
      <c r="BW45" s="1">
        <f t="shared" si="14"/>
        <v>-0.36286567162481442</v>
      </c>
      <c r="BX45" s="1">
        <f t="shared" si="14"/>
        <v>-0.21201903493128937</v>
      </c>
      <c r="BY45" s="1">
        <f t="shared" si="14"/>
        <v>-8.2552904625643686E-2</v>
      </c>
      <c r="BZ45" s="1">
        <f t="shared" si="14"/>
        <v>-3.2963045964375937E-3</v>
      </c>
      <c r="CA45" s="1">
        <f t="shared" si="14"/>
        <v>-4.054973267515849E-2</v>
      </c>
      <c r="CB45" s="1">
        <f t="shared" si="14"/>
        <v>4.2214115944231967E-2</v>
      </c>
      <c r="CC45" s="1">
        <f t="shared" si="14"/>
        <v>2.8794036548900559E-2</v>
      </c>
      <c r="CD45" s="1">
        <f t="shared" si="14"/>
        <v>-5.0948552803442348E-2</v>
      </c>
      <c r="CE45" s="1">
        <f t="shared" si="14"/>
        <v>3.8626526179976306E-2</v>
      </c>
      <c r="CF45" s="1">
        <f t="shared" si="14"/>
        <v>1.6951699858219094E-2</v>
      </c>
      <c r="CG45" s="1">
        <f t="shared" si="14"/>
        <v>1.3930751546912923E-2</v>
      </c>
    </row>
    <row r="46" spans="1:85">
      <c r="A46" s="8">
        <v>2006</v>
      </c>
      <c r="B46">
        <v>3693.113805</v>
      </c>
      <c r="C46">
        <v>4489.5527910000001</v>
      </c>
      <c r="D46">
        <v>116699.25566</v>
      </c>
      <c r="E46">
        <v>12778.693805999999</v>
      </c>
      <c r="F46">
        <v>1426.6893130000001</v>
      </c>
      <c r="G46">
        <v>5509.4794430000002</v>
      </c>
      <c r="H46">
        <v>5073.8889719999997</v>
      </c>
      <c r="I46">
        <v>19792.392331999999</v>
      </c>
      <c r="J46">
        <v>18429.723958999999</v>
      </c>
      <c r="K46">
        <v>1745.4301780000001</v>
      </c>
      <c r="M46">
        <f>B46*$N$1/'biomass Atlantis'!M46</f>
        <v>3.0142593823688137E-3</v>
      </c>
      <c r="N46">
        <f>C46*$N$1/'biomass Atlantis'!N46</f>
        <v>5.8078220326745632E-4</v>
      </c>
      <c r="O46">
        <f>D46*$N$1/'biomass Atlantis'!O46</f>
        <v>5.3685234089478992E-2</v>
      </c>
      <c r="P46">
        <f>E46*$N$1/'biomass Atlantis'!P46</f>
        <v>1.1674357492063914E-2</v>
      </c>
      <c r="Q46">
        <f>F46*$N$1/'biomass Atlantis'!Q46</f>
        <v>2.9540954915160079E-3</v>
      </c>
      <c r="R46">
        <f>G46*$N$1/'biomass Atlantis'!R46</f>
        <v>8.2998654153640869E-3</v>
      </c>
      <c r="S46">
        <f>H46*$N$1/'biomass Atlantis'!S46</f>
        <v>2.1112045291152428E-2</v>
      </c>
      <c r="T46">
        <f>I46*$N$1/'biomass Atlantis'!T46</f>
        <v>5.6372265883260315E-3</v>
      </c>
      <c r="U46">
        <f>J46*$N$1/'biomass Atlantis'!U46</f>
        <v>9.7801848067457398E-2</v>
      </c>
      <c r="V46">
        <f>K46*$N$1/'biomass Atlantis'!V46</f>
        <v>1.8567535107939081E-3</v>
      </c>
      <c r="X46">
        <f t="shared" si="1"/>
        <v>3693.113805</v>
      </c>
      <c r="Y46">
        <f t="shared" si="2"/>
        <v>4489.5527910000001</v>
      </c>
      <c r="Z46">
        <f t="shared" si="3"/>
        <v>116699.25566</v>
      </c>
      <c r="AA46">
        <f t="shared" si="4"/>
        <v>12778.693805999999</v>
      </c>
      <c r="AB46">
        <f t="shared" si="5"/>
        <v>1426.6893130000001</v>
      </c>
      <c r="AC46">
        <f t="shared" si="6"/>
        <v>5509.4794430000002</v>
      </c>
      <c r="AD46">
        <f t="shared" si="7"/>
        <v>5073.8889719999997</v>
      </c>
      <c r="AE46">
        <f t="shared" si="8"/>
        <v>19792.392331999999</v>
      </c>
      <c r="AF46">
        <f t="shared" si="9"/>
        <v>18429.723958999999</v>
      </c>
      <c r="AG46">
        <f t="shared" si="10"/>
        <v>1745.4301780000001</v>
      </c>
      <c r="AI46" s="1">
        <f t="shared" si="13"/>
        <v>-0.22268455089021222</v>
      </c>
      <c r="AJ46" s="1">
        <f t="shared" si="14"/>
        <v>-0.22041683495712405</v>
      </c>
      <c r="AK46" s="1">
        <f t="shared" si="14"/>
        <v>-0.28226021611898</v>
      </c>
      <c r="AL46" s="1">
        <f t="shared" si="14"/>
        <v>-0.32954982175484693</v>
      </c>
      <c r="AM46" s="1">
        <f t="shared" si="14"/>
        <v>-0.34903989663876978</v>
      </c>
      <c r="AN46" s="1">
        <f t="shared" si="14"/>
        <v>-0.3021664403174924</v>
      </c>
      <c r="AO46" s="1">
        <f t="shared" si="14"/>
        <v>-0.24609352751155944</v>
      </c>
      <c r="AP46" s="1">
        <f t="shared" si="14"/>
        <v>-0.21832931866192151</v>
      </c>
      <c r="AQ46" s="1">
        <f t="shared" si="14"/>
        <v>-0.18871958998422755</v>
      </c>
      <c r="AR46" s="1">
        <f t="shared" si="14"/>
        <v>-0.15979620488374735</v>
      </c>
      <c r="AS46" s="1">
        <f t="shared" si="14"/>
        <v>-0.13725887276307924</v>
      </c>
      <c r="AT46" s="1">
        <f t="shared" si="14"/>
        <v>-0.11557416337090665</v>
      </c>
      <c r="AU46" s="1">
        <f t="shared" si="14"/>
        <v>-8.5016590941216386E-2</v>
      </c>
      <c r="AV46" s="1">
        <f t="shared" si="14"/>
        <v>-5.7457205409681578E-2</v>
      </c>
      <c r="AW46" s="1">
        <f t="shared" si="14"/>
        <v>-2.5964586955169455E-2</v>
      </c>
      <c r="AX46" s="1">
        <f t="shared" si="14"/>
        <v>8.6538280970986925E-3</v>
      </c>
      <c r="AY46" s="1">
        <f t="shared" si="14"/>
        <v>3.2551957513681673E-2</v>
      </c>
      <c r="AZ46" s="1">
        <f t="shared" si="14"/>
        <v>4.2595392604125593E-2</v>
      </c>
      <c r="BA46" s="1">
        <f t="shared" si="14"/>
        <v>4.9530416909423947E-2</v>
      </c>
      <c r="BB46" s="1">
        <f t="shared" si="14"/>
        <v>5.332405710324406E-2</v>
      </c>
      <c r="BC46" s="1">
        <f t="shared" si="14"/>
        <v>6.1165738446299134E-2</v>
      </c>
      <c r="BD46" s="1">
        <f t="shared" si="14"/>
        <v>6.9269081542103761E-2</v>
      </c>
      <c r="BE46" s="1">
        <f t="shared" si="14"/>
        <v>8.0740459196472658E-2</v>
      </c>
      <c r="BF46" s="1">
        <f t="shared" si="14"/>
        <v>9.6063281413595547E-2</v>
      </c>
      <c r="BG46" s="1">
        <f t="shared" si="14"/>
        <v>0.11693881515758986</v>
      </c>
      <c r="BH46" s="1">
        <f t="shared" si="14"/>
        <v>0.12705129358420675</v>
      </c>
      <c r="BI46" s="1">
        <f t="shared" si="14"/>
        <v>0.10658604978374031</v>
      </c>
      <c r="BJ46" s="1">
        <f t="shared" si="14"/>
        <v>9.2104263944649434E-2</v>
      </c>
      <c r="BK46" s="1">
        <f t="shared" si="14"/>
        <v>9.2193057363434638E-2</v>
      </c>
      <c r="BL46" s="1">
        <f t="shared" si="14"/>
        <v>8.6400682250487026E-2</v>
      </c>
      <c r="BM46" s="1">
        <f t="shared" si="14"/>
        <v>8.7035365102376527E-2</v>
      </c>
      <c r="BN46" s="1">
        <f t="shared" si="14"/>
        <v>8.9352045047823569E-2</v>
      </c>
      <c r="BO46" s="1">
        <f t="shared" si="14"/>
        <v>9.2846813057160915E-2</v>
      </c>
      <c r="BP46" s="1">
        <f t="shared" si="14"/>
        <v>9.4834234045421573E-2</v>
      </c>
      <c r="BQ46" s="1">
        <f t="shared" si="14"/>
        <v>9.7207373097227601E-2</v>
      </c>
      <c r="BR46" s="1">
        <f t="shared" si="14"/>
        <v>8.8153039782441267E-2</v>
      </c>
      <c r="BS46" s="1">
        <f t="shared" si="14"/>
        <v>7.5328739154307378E-2</v>
      </c>
      <c r="BT46" s="1">
        <f t="shared" si="14"/>
        <v>6.0636640814958787E-2</v>
      </c>
      <c r="BU46" s="1">
        <f t="shared" si="14"/>
        <v>4.7217018856855031E-2</v>
      </c>
      <c r="BV46" s="1">
        <f t="shared" si="14"/>
        <v>3.4150530855505457E-2</v>
      </c>
      <c r="BW46" s="1">
        <f t="shared" si="14"/>
        <v>3.1659129227920912E-2</v>
      </c>
      <c r="BX46" s="1">
        <f t="shared" si="14"/>
        <v>3.1478560130980604E-2</v>
      </c>
      <c r="BY46" s="1">
        <f t="shared" si="14"/>
        <v>2.6470099806518155E-2</v>
      </c>
      <c r="BZ46" s="1">
        <f t="shared" si="14"/>
        <v>2.1105187689141713E-2</v>
      </c>
      <c r="CA46" s="1">
        <f t="shared" si="14"/>
        <v>1.3163667902438725E-2</v>
      </c>
      <c r="CB46" s="1">
        <f t="shared" si="14"/>
        <v>7.811313861293856E-3</v>
      </c>
      <c r="CC46" s="1">
        <f t="shared" si="14"/>
        <v>1.1297744513245611E-2</v>
      </c>
      <c r="CD46" s="1">
        <f t="shared" si="14"/>
        <v>1.4771673225556059E-2</v>
      </c>
      <c r="CE46" s="1">
        <f t="shared" si="14"/>
        <v>1.1703969370961964E-2</v>
      </c>
      <c r="CF46" s="1">
        <f t="shared" si="14"/>
        <v>5.0517694606770913E-3</v>
      </c>
      <c r="CG46" s="1">
        <f t="shared" si="14"/>
        <v>4.1665894854960861E-3</v>
      </c>
    </row>
    <row r="47" spans="1:85">
      <c r="A47" s="8">
        <v>2007</v>
      </c>
      <c r="B47">
        <v>4137.1734020000004</v>
      </c>
      <c r="C47">
        <v>4382.6153670000003</v>
      </c>
      <c r="D47">
        <v>116302.531522</v>
      </c>
      <c r="E47">
        <v>12958.047313999999</v>
      </c>
      <c r="F47">
        <v>1554.1019920000001</v>
      </c>
      <c r="G47">
        <v>5538.4265889999997</v>
      </c>
      <c r="H47">
        <v>4970.5538130000004</v>
      </c>
      <c r="I47">
        <v>26234.769432000001</v>
      </c>
      <c r="J47">
        <v>18518.341183</v>
      </c>
      <c r="K47">
        <v>1818.077683</v>
      </c>
      <c r="M47">
        <f>B47*$N$1/'biomass Atlantis'!M47</f>
        <v>3.459951880446426E-3</v>
      </c>
      <c r="N47">
        <f>C47*$N$1/'biomass Atlantis'!N47</f>
        <v>5.7115443401568259E-4</v>
      </c>
      <c r="O47">
        <f>D47*$N$1/'biomass Atlantis'!O47</f>
        <v>6.4433459719777555E-2</v>
      </c>
      <c r="P47">
        <f>E47*$N$1/'biomass Atlantis'!P47</f>
        <v>1.1531029309363115E-2</v>
      </c>
      <c r="Q47">
        <f>F47*$N$1/'biomass Atlantis'!Q47</f>
        <v>2.8881334936057736E-3</v>
      </c>
      <c r="R47">
        <f>G47*$N$1/'biomass Atlantis'!R47</f>
        <v>8.0376561550025219E-3</v>
      </c>
      <c r="S47">
        <f>H47*$N$1/'biomass Atlantis'!S47</f>
        <v>2.0381776013568373E-2</v>
      </c>
      <c r="T47">
        <f>I47*$N$1/'biomass Atlantis'!T47</f>
        <v>9.9463040544695795E-3</v>
      </c>
      <c r="U47">
        <f>J47*$N$1/'biomass Atlantis'!U47</f>
        <v>9.6157273613947158E-2</v>
      </c>
      <c r="V47">
        <f>K47*$N$1/'biomass Atlantis'!V47</f>
        <v>1.8838120402966539E-3</v>
      </c>
      <c r="X47">
        <f t="shared" si="1"/>
        <v>4137.1734020000004</v>
      </c>
      <c r="Y47">
        <f t="shared" si="2"/>
        <v>4382.6153670000003</v>
      </c>
      <c r="Z47">
        <f t="shared" si="3"/>
        <v>116302.531522</v>
      </c>
      <c r="AA47">
        <f t="shared" si="4"/>
        <v>12958.047313999999</v>
      </c>
      <c r="AB47">
        <f t="shared" si="5"/>
        <v>1554.1019920000001</v>
      </c>
      <c r="AC47">
        <f t="shared" si="6"/>
        <v>5538.4265889999997</v>
      </c>
      <c r="AD47">
        <f t="shared" si="7"/>
        <v>4970.5538130000004</v>
      </c>
      <c r="AE47">
        <f t="shared" si="8"/>
        <v>26234.769432000001</v>
      </c>
      <c r="AF47">
        <f t="shared" si="9"/>
        <v>18518.341183</v>
      </c>
      <c r="AG47">
        <f t="shared" si="10"/>
        <v>1818.077683</v>
      </c>
      <c r="AI47" s="1">
        <f t="shared" si="13"/>
        <v>6.0117851816300139E-2</v>
      </c>
      <c r="AJ47" s="1">
        <f t="shared" si="14"/>
        <v>0.32636783529464308</v>
      </c>
      <c r="AK47" s="1">
        <f t="shared" si="14"/>
        <v>8.1624446446119325E-2</v>
      </c>
      <c r="AL47" s="1">
        <f t="shared" si="14"/>
        <v>-3.9525165883394831E-2</v>
      </c>
      <c r="AM47" s="1">
        <f t="shared" si="14"/>
        <v>-0.11000429361210928</v>
      </c>
      <c r="AN47" s="1">
        <f t="shared" si="14"/>
        <v>-0.15223828136893092</v>
      </c>
      <c r="AO47" s="1">
        <f t="shared" si="14"/>
        <v>-0.1754606473713709</v>
      </c>
      <c r="AP47" s="1">
        <f t="shared" si="14"/>
        <v>-0.18375007188906656</v>
      </c>
      <c r="AQ47" s="1">
        <f t="shared" si="14"/>
        <v>-0.18804361968661931</v>
      </c>
      <c r="AR47" s="1">
        <f t="shared" si="14"/>
        <v>-0.187672126359824</v>
      </c>
      <c r="AS47" s="1">
        <f t="shared" si="14"/>
        <v>-0.17990227726265573</v>
      </c>
      <c r="AT47" s="1">
        <f t="shared" si="14"/>
        <v>-0.17215733022734092</v>
      </c>
      <c r="AU47" s="1">
        <f t="shared" si="14"/>
        <v>-0.13751923841379332</v>
      </c>
      <c r="AV47" s="1">
        <f t="shared" si="14"/>
        <v>-0.11815618520903071</v>
      </c>
      <c r="AW47" s="1">
        <f t="shared" si="14"/>
        <v>-9.4510499535398029E-2</v>
      </c>
      <c r="AX47" s="1">
        <f t="shared" si="14"/>
        <v>-6.1268858433905393E-2</v>
      </c>
      <c r="AY47" s="1">
        <f t="shared" si="14"/>
        <v>-5.2952574695407595E-2</v>
      </c>
      <c r="AZ47" s="1">
        <f t="shared" si="14"/>
        <v>-3.6756608009209657E-2</v>
      </c>
      <c r="BA47" s="1">
        <f t="shared" si="14"/>
        <v>-8.5359814278405111E-3</v>
      </c>
      <c r="BB47" s="1">
        <f t="shared" si="14"/>
        <v>2.2609029107522716E-2</v>
      </c>
      <c r="BC47" s="1">
        <f t="shared" si="14"/>
        <v>6.4260218577295802E-2</v>
      </c>
      <c r="BD47" s="1">
        <f t="shared" si="14"/>
        <v>5.9898643797604567E-2</v>
      </c>
      <c r="BE47" s="1">
        <f t="shared" si="14"/>
        <v>0.10325237188797276</v>
      </c>
      <c r="BF47" s="1">
        <f t="shared" si="14"/>
        <v>0.10551139737449011</v>
      </c>
      <c r="BG47" s="1">
        <f t="shared" si="14"/>
        <v>0.13901830980477614</v>
      </c>
      <c r="BH47" s="1">
        <f t="shared" si="14"/>
        <v>0.15987301883105332</v>
      </c>
      <c r="BI47" s="1">
        <f t="shared" si="14"/>
        <v>7.6189286245432086E-2</v>
      </c>
      <c r="BJ47" s="1">
        <f t="shared" si="14"/>
        <v>3.6237618271646621E-2</v>
      </c>
      <c r="BK47" s="1">
        <f t="shared" si="14"/>
        <v>3.5838608971167751E-2</v>
      </c>
      <c r="BL47" s="1">
        <f t="shared" si="14"/>
        <v>5.2305423123284456E-2</v>
      </c>
      <c r="BM47" s="1">
        <f t="shared" si="14"/>
        <v>7.3939635536284243E-2</v>
      </c>
      <c r="BN47" s="1">
        <f t="shared" si="14"/>
        <v>5.9643169530264828E-2</v>
      </c>
      <c r="BO47" s="1">
        <f t="shared" si="14"/>
        <v>6.6600369269320225E-2</v>
      </c>
      <c r="BP47" s="1">
        <f t="shared" si="14"/>
        <v>5.1669896804562132E-2</v>
      </c>
      <c r="BQ47" s="1">
        <f t="shared" si="14"/>
        <v>9.360612863613893E-2</v>
      </c>
      <c r="BR47" s="1">
        <f t="shared" si="14"/>
        <v>6.3377834170757819E-2</v>
      </c>
      <c r="BS47" s="1">
        <f t="shared" si="14"/>
        <v>5.7456734140418408E-2</v>
      </c>
      <c r="BT47" s="1">
        <f t="shared" si="14"/>
        <v>-2.512700946341706E-3</v>
      </c>
      <c r="BU47" s="1">
        <f t="shared" si="14"/>
        <v>-7.532244424233614E-3</v>
      </c>
      <c r="BV47" s="1">
        <f t="shared" si="14"/>
        <v>-4.6184785192267874E-2</v>
      </c>
      <c r="BW47" s="1">
        <f t="shared" si="14"/>
        <v>-4.7885996594533076E-2</v>
      </c>
      <c r="BX47" s="1">
        <f t="shared" si="14"/>
        <v>-2.0021909508769919E-2</v>
      </c>
      <c r="BY47" s="1">
        <f t="shared" si="14"/>
        <v>-3.4009543606666082E-2</v>
      </c>
      <c r="BZ47" s="1">
        <f t="shared" si="14"/>
        <v>-4.3816810369025738E-2</v>
      </c>
      <c r="CA47" s="1">
        <f t="shared" si="14"/>
        <v>-4.5511343716974739E-2</v>
      </c>
      <c r="CB47" s="1">
        <f t="shared" si="14"/>
        <v>-5.4498155065235032E-2</v>
      </c>
      <c r="CC47" s="1">
        <f t="shared" si="14"/>
        <v>-6.5039293730674075E-2</v>
      </c>
      <c r="CD47" s="1">
        <f t="shared" si="14"/>
        <v>-2.3464329659639294E-2</v>
      </c>
      <c r="CE47" s="1">
        <f t="shared" si="14"/>
        <v>-3.0281418917083691E-2</v>
      </c>
      <c r="CF47" s="1">
        <f t="shared" si="14"/>
        <v>-6.3453088150403403E-2</v>
      </c>
      <c r="CG47" s="1">
        <f t="shared" si="14"/>
        <v>-4.430159201673245E-2</v>
      </c>
    </row>
    <row r="48" spans="1:85">
      <c r="A48" s="8">
        <v>2008</v>
      </c>
      <c r="B48">
        <v>4343.8838770000002</v>
      </c>
      <c r="C48">
        <v>4249.1755389999998</v>
      </c>
      <c r="D48">
        <v>102456.47575899999</v>
      </c>
      <c r="E48">
        <v>13115.519432999999</v>
      </c>
      <c r="F48">
        <v>1710.018202</v>
      </c>
      <c r="G48">
        <v>5680.8298809999997</v>
      </c>
      <c r="H48">
        <v>4941.2764569999999</v>
      </c>
      <c r="I48">
        <v>21320.057102999999</v>
      </c>
      <c r="J48">
        <v>18122.456357999999</v>
      </c>
      <c r="K48">
        <v>1790.9597960000001</v>
      </c>
      <c r="M48">
        <f>B48*$N$1/'biomass Atlantis'!M48</f>
        <v>3.7181196285777387E-3</v>
      </c>
      <c r="N48">
        <f>C48*$N$1/'biomass Atlantis'!N48</f>
        <v>5.5326258797678608E-4</v>
      </c>
      <c r="O48">
        <f>D48*$N$1/'biomass Atlantis'!O48</f>
        <v>5.9136827606730787E-2</v>
      </c>
      <c r="P48">
        <f>E48*$N$1/'biomass Atlantis'!P48</f>
        <v>1.1322088786149653E-2</v>
      </c>
      <c r="Q48">
        <f>F48*$N$1/'biomass Atlantis'!Q48</f>
        <v>2.8768865095197835E-3</v>
      </c>
      <c r="R48">
        <f>G48*$N$1/'biomass Atlantis'!R48</f>
        <v>7.923817409644162E-3</v>
      </c>
      <c r="S48">
        <f>H48*$N$1/'biomass Atlantis'!S48</f>
        <v>1.9904496153895314E-2</v>
      </c>
      <c r="T48">
        <f>I48*$N$1/'biomass Atlantis'!T48</f>
        <v>6.3059507644168383E-3</v>
      </c>
      <c r="U48">
        <f>J48*$N$1/'biomass Atlantis'!U48</f>
        <v>9.2139184597455487E-2</v>
      </c>
      <c r="V48">
        <f>K48*$N$1/'biomass Atlantis'!V48</f>
        <v>1.8216287547842087E-3</v>
      </c>
      <c r="X48">
        <f t="shared" si="1"/>
        <v>4343.8838770000002</v>
      </c>
      <c r="Y48">
        <f t="shared" si="2"/>
        <v>4249.1755389999998</v>
      </c>
      <c r="Z48">
        <f t="shared" si="3"/>
        <v>102456.47575899999</v>
      </c>
      <c r="AA48">
        <f t="shared" si="4"/>
        <v>13115.519432999999</v>
      </c>
      <c r="AB48">
        <f t="shared" si="5"/>
        <v>1710.018202</v>
      </c>
      <c r="AC48">
        <f t="shared" si="6"/>
        <v>5680.8298809999997</v>
      </c>
      <c r="AD48">
        <f t="shared" si="7"/>
        <v>4941.2764569999999</v>
      </c>
      <c r="AE48">
        <f t="shared" si="8"/>
        <v>21320.057102999999</v>
      </c>
      <c r="AF48">
        <f t="shared" si="9"/>
        <v>18122.456357999999</v>
      </c>
      <c r="AG48">
        <f t="shared" si="10"/>
        <v>1790.9597960000001</v>
      </c>
      <c r="AI48" s="1">
        <f t="shared" si="13"/>
        <v>-0.32825512219762132</v>
      </c>
      <c r="AJ48" s="1">
        <f t="shared" si="14"/>
        <v>-0.18935920710081566</v>
      </c>
      <c r="AK48" s="1">
        <f t="shared" si="14"/>
        <v>-0.35663513402562641</v>
      </c>
      <c r="AL48" s="1">
        <f t="shared" si="14"/>
        <v>-0.36814129343784341</v>
      </c>
      <c r="AM48" s="1">
        <f t="shared" si="14"/>
        <v>-0.3644446065409177</v>
      </c>
      <c r="AN48" s="1">
        <f t="shared" si="14"/>
        <v>-0.36242337536602154</v>
      </c>
      <c r="AO48" s="1">
        <f t="shared" si="14"/>
        <v>-0.3397322117283994</v>
      </c>
      <c r="AP48" s="1">
        <f t="shared" si="14"/>
        <v>-0.31351339697030545</v>
      </c>
      <c r="AQ48" s="1">
        <f t="shared" si="14"/>
        <v>-0.2815660528348185</v>
      </c>
      <c r="AR48" s="1">
        <f t="shared" si="14"/>
        <v>-0.25338199438269138</v>
      </c>
      <c r="AS48" s="1">
        <f t="shared" si="14"/>
        <v>-0.2166807885395472</v>
      </c>
      <c r="AT48" s="1">
        <f t="shared" si="14"/>
        <v>-0.18779391417669977</v>
      </c>
      <c r="AU48" s="1">
        <f t="shared" si="14"/>
        <v>-0.16065015892676815</v>
      </c>
      <c r="AV48" s="1">
        <f t="shared" si="14"/>
        <v>-0.13700072479609693</v>
      </c>
      <c r="AW48" s="1">
        <f t="shared" si="14"/>
        <v>-9.9245176282027892E-2</v>
      </c>
      <c r="AX48" s="1">
        <f t="shared" si="14"/>
        <v>-5.9106329298079796E-2</v>
      </c>
      <c r="AY48" s="1">
        <f t="shared" si="14"/>
        <v>-1.7645517758442253E-2</v>
      </c>
      <c r="AZ48" s="1">
        <f t="shared" si="14"/>
        <v>2.9228084976904434E-3</v>
      </c>
      <c r="BA48" s="1">
        <f t="shared" si="14"/>
        <v>2.52922270465743E-2</v>
      </c>
      <c r="BB48" s="1">
        <f t="shared" si="14"/>
        <v>6.0801440448855715E-2</v>
      </c>
      <c r="BC48" s="1">
        <f t="shared" si="14"/>
        <v>8.5497956407337927E-2</v>
      </c>
      <c r="BD48" s="1">
        <f t="shared" ref="AJ48:CG51" si="16">LOG10(BD22)-$AK36</f>
        <v>0.11824805741687205</v>
      </c>
      <c r="BE48" s="1">
        <f t="shared" si="16"/>
        <v>0.12947136550619032</v>
      </c>
      <c r="BF48" s="1">
        <f t="shared" si="16"/>
        <v>0.15610469413871741</v>
      </c>
      <c r="BG48" s="1">
        <f t="shared" si="16"/>
        <v>0.16572571814611581</v>
      </c>
      <c r="BH48" s="1">
        <f t="shared" si="16"/>
        <v>0.17361804403825976</v>
      </c>
      <c r="BI48" s="1">
        <f t="shared" si="16"/>
        <v>7.2738031674917547E-2</v>
      </c>
      <c r="BJ48" s="1">
        <f t="shared" si="16"/>
        <v>6.2754780911570496E-2</v>
      </c>
      <c r="BK48" s="1">
        <f t="shared" si="16"/>
        <v>0.11681633829457994</v>
      </c>
      <c r="BL48" s="1">
        <f t="shared" si="16"/>
        <v>0.13087688543376519</v>
      </c>
      <c r="BM48" s="1">
        <f t="shared" si="16"/>
        <v>7.1994086607484409E-2</v>
      </c>
      <c r="BN48" s="1">
        <f t="shared" si="16"/>
        <v>8.1353768933902781E-2</v>
      </c>
      <c r="BO48" s="1">
        <f t="shared" si="16"/>
        <v>0.15104414453305259</v>
      </c>
      <c r="BP48" s="1">
        <f t="shared" si="16"/>
        <v>0.11397155770450418</v>
      </c>
      <c r="BQ48" s="1">
        <f t="shared" si="16"/>
        <v>0.10328296790607494</v>
      </c>
      <c r="BR48" s="1">
        <f t="shared" si="16"/>
        <v>0.11059987335139176</v>
      </c>
      <c r="BS48" s="1">
        <f t="shared" si="16"/>
        <v>6.2819496817437592E-2</v>
      </c>
      <c r="BT48" s="1">
        <f t="shared" si="16"/>
        <v>4.9559200436313677E-2</v>
      </c>
      <c r="BU48" s="1">
        <f t="shared" si="16"/>
        <v>3.2019798676024891E-2</v>
      </c>
      <c r="BV48" s="1">
        <f t="shared" si="16"/>
        <v>2.5211195287308197E-2</v>
      </c>
      <c r="BW48" s="1">
        <f t="shared" si="16"/>
        <v>6.2769566874054217E-2</v>
      </c>
      <c r="BX48" s="1">
        <f t="shared" si="16"/>
        <v>7.71184022605933E-2</v>
      </c>
      <c r="BY48" s="1">
        <f t="shared" si="16"/>
        <v>6.7551810975368998E-2</v>
      </c>
      <c r="BZ48" s="1">
        <f t="shared" si="16"/>
        <v>5.3610184204553324E-2</v>
      </c>
      <c r="CA48" s="1">
        <f t="shared" si="16"/>
        <v>4.7415220182219997E-2</v>
      </c>
      <c r="CB48" s="1">
        <f t="shared" si="16"/>
        <v>3.817860698606923E-2</v>
      </c>
      <c r="CC48" s="1">
        <f t="shared" si="16"/>
        <v>3.0944835298230888E-2</v>
      </c>
      <c r="CD48" s="1">
        <f t="shared" si="16"/>
        <v>4.2901846748560679E-2</v>
      </c>
      <c r="CE48" s="1">
        <f t="shared" si="16"/>
        <v>3.7175717236285877E-2</v>
      </c>
      <c r="CF48" s="1">
        <f t="shared" si="16"/>
        <v>2.3988552043433753E-2</v>
      </c>
      <c r="CG48" s="1">
        <f t="shared" si="16"/>
        <v>3.5168045050388397E-2</v>
      </c>
    </row>
    <row r="49" spans="1:85">
      <c r="A49" s="8">
        <v>2009</v>
      </c>
      <c r="B49">
        <v>4059.6357630000002</v>
      </c>
      <c r="C49">
        <v>4194.1053629999997</v>
      </c>
      <c r="D49">
        <v>104221.456893</v>
      </c>
      <c r="E49">
        <v>13560.16453</v>
      </c>
      <c r="F49">
        <v>1844.2800070000001</v>
      </c>
      <c r="G49">
        <v>5758.0399719999996</v>
      </c>
      <c r="H49">
        <v>5038.8520330000001</v>
      </c>
      <c r="I49">
        <v>23413.334986000002</v>
      </c>
      <c r="J49">
        <v>18496.863400999999</v>
      </c>
      <c r="K49">
        <v>1784.9699430000001</v>
      </c>
      <c r="M49">
        <f>B49*$N$1/'biomass Atlantis'!M49</f>
        <v>3.5459768179538949E-3</v>
      </c>
      <c r="N49">
        <f>C49*$N$1/'biomass Atlantis'!N49</f>
        <v>5.4726809779845537E-4</v>
      </c>
      <c r="O49">
        <f>D49*$N$1/'biomass Atlantis'!O49</f>
        <v>7.1552015517602804E-2</v>
      </c>
      <c r="P49">
        <f>E49*$N$1/'biomass Atlantis'!P49</f>
        <v>1.118340884480269E-2</v>
      </c>
      <c r="Q49">
        <f>F49*$N$1/'biomass Atlantis'!Q49</f>
        <v>2.8179670999375051E-3</v>
      </c>
      <c r="R49">
        <f>G49*$N$1/'biomass Atlantis'!R49</f>
        <v>7.7570724236208947E-3</v>
      </c>
      <c r="S49">
        <f>H49*$N$1/'biomass Atlantis'!S49</f>
        <v>2.059068746273901E-2</v>
      </c>
      <c r="T49">
        <f>I49*$N$1/'biomass Atlantis'!T49</f>
        <v>5.9110869484010724E-3</v>
      </c>
      <c r="U49">
        <f>J49*$N$1/'biomass Atlantis'!U49</f>
        <v>9.2284592431854995E-2</v>
      </c>
      <c r="V49">
        <f>K49*$N$1/'biomass Atlantis'!V49</f>
        <v>1.7705669301995713E-3</v>
      </c>
      <c r="X49">
        <f t="shared" si="1"/>
        <v>4059.6357630000002</v>
      </c>
      <c r="Y49">
        <f t="shared" si="2"/>
        <v>4194.1053629999997</v>
      </c>
      <c r="Z49">
        <f t="shared" si="3"/>
        <v>104221.456893</v>
      </c>
      <c r="AA49">
        <f t="shared" si="4"/>
        <v>13560.16453</v>
      </c>
      <c r="AB49">
        <f t="shared" si="5"/>
        <v>1844.2800070000001</v>
      </c>
      <c r="AC49">
        <f t="shared" si="6"/>
        <v>5758.0399719999996</v>
      </c>
      <c r="AD49">
        <f t="shared" si="7"/>
        <v>5038.8520330000001</v>
      </c>
      <c r="AE49">
        <f t="shared" si="8"/>
        <v>23413.334986000002</v>
      </c>
      <c r="AF49">
        <f t="shared" si="9"/>
        <v>18496.863400999999</v>
      </c>
      <c r="AG49">
        <f t="shared" si="10"/>
        <v>1784.9699430000001</v>
      </c>
      <c r="AI49" s="1">
        <f t="shared" si="13"/>
        <v>-1.8139201867006793E-3</v>
      </c>
      <c r="AJ49" s="1">
        <f t="shared" si="16"/>
        <v>-2.0131954871274171E-2</v>
      </c>
      <c r="AK49" s="1">
        <f t="shared" si="16"/>
        <v>-0.16357944125209078</v>
      </c>
      <c r="AL49" s="1">
        <f t="shared" si="16"/>
        <v>-0.24875911846744003</v>
      </c>
      <c r="AM49" s="1">
        <f t="shared" si="16"/>
        <v>-0.28012284336479532</v>
      </c>
      <c r="AN49" s="1">
        <f t="shared" si="16"/>
        <v>-0.30648857110125771</v>
      </c>
      <c r="AO49" s="1">
        <f t="shared" si="16"/>
        <v>-0.28793155895523892</v>
      </c>
      <c r="AP49" s="1">
        <f t="shared" si="16"/>
        <v>-0.29541499513273806</v>
      </c>
      <c r="AQ49" s="1">
        <f t="shared" si="16"/>
        <v>-0.27371332285363392</v>
      </c>
      <c r="AR49" s="1">
        <f t="shared" si="16"/>
        <v>-0.25817294255745904</v>
      </c>
      <c r="AS49" s="1">
        <f t="shared" si="16"/>
        <v>-0.23885857892033879</v>
      </c>
      <c r="AT49" s="1">
        <f t="shared" si="16"/>
        <v>-0.22175400760155251</v>
      </c>
      <c r="AU49" s="1">
        <f t="shared" si="16"/>
        <v>-0.18644627239397371</v>
      </c>
      <c r="AV49" s="1">
        <f t="shared" si="16"/>
        <v>-0.15413364902026516</v>
      </c>
      <c r="AW49" s="1">
        <f t="shared" si="16"/>
        <v>-0.11870055814148017</v>
      </c>
      <c r="AX49" s="1">
        <f t="shared" si="16"/>
        <v>-0.10372055555405391</v>
      </c>
      <c r="AY49" s="1">
        <f t="shared" si="16"/>
        <v>-8.9707466266248259E-2</v>
      </c>
      <c r="AZ49" s="1">
        <f t="shared" si="16"/>
        <v>-1.6558530925374404E-2</v>
      </c>
      <c r="BA49" s="1">
        <f t="shared" si="16"/>
        <v>-1.9562981568649107E-2</v>
      </c>
      <c r="BB49" s="1">
        <f t="shared" si="16"/>
        <v>-2.5247626960611669E-2</v>
      </c>
      <c r="BC49" s="1">
        <f t="shared" si="16"/>
        <v>5.2213744466533818E-3</v>
      </c>
      <c r="BD49" s="1">
        <f t="shared" si="16"/>
        <v>7.5824672383496106E-2</v>
      </c>
      <c r="BE49" s="1">
        <f t="shared" si="16"/>
        <v>8.2773878099197784E-2</v>
      </c>
      <c r="BF49" s="1">
        <f t="shared" si="16"/>
        <v>8.1962732519466064E-2</v>
      </c>
      <c r="BG49" s="1">
        <f t="shared" si="16"/>
        <v>0.11887911521693373</v>
      </c>
      <c r="BH49" s="1">
        <f t="shared" si="16"/>
        <v>0.15193679037347541</v>
      </c>
      <c r="BI49" s="1">
        <f t="shared" si="16"/>
        <v>7.7384719993181195E-2</v>
      </c>
      <c r="BJ49" s="1">
        <f t="shared" si="16"/>
        <v>6.3473109114750681E-2</v>
      </c>
      <c r="BK49" s="1">
        <f t="shared" si="16"/>
        <v>0.16111855609039805</v>
      </c>
      <c r="BL49" s="1">
        <f t="shared" si="16"/>
        <v>0.11913621586824097</v>
      </c>
      <c r="BM49" s="1">
        <f t="shared" si="16"/>
        <v>0.13359501705546362</v>
      </c>
      <c r="BN49" s="1">
        <f t="shared" si="16"/>
        <v>0.12310388396709926</v>
      </c>
      <c r="BO49" s="1">
        <f t="shared" si="16"/>
        <v>0.14074209128126225</v>
      </c>
      <c r="BP49" s="1">
        <f t="shared" si="16"/>
        <v>6.4189297561635161E-2</v>
      </c>
      <c r="BQ49" s="1">
        <f t="shared" si="16"/>
        <v>0.14469629421555474</v>
      </c>
      <c r="BR49" s="1">
        <f t="shared" si="16"/>
        <v>0.11148889383130856</v>
      </c>
      <c r="BS49" s="1">
        <f t="shared" si="16"/>
        <v>0.13385641467814624</v>
      </c>
      <c r="BT49" s="1">
        <f t="shared" si="16"/>
        <v>0.10054345390990305</v>
      </c>
      <c r="BU49" s="1">
        <f t="shared" si="16"/>
        <v>6.9246410270163761E-2</v>
      </c>
      <c r="BV49" s="1">
        <f t="shared" si="16"/>
        <v>4.9479313404027225E-2</v>
      </c>
      <c r="BW49" s="1">
        <f t="shared" si="16"/>
        <v>6.7126153208918904E-2</v>
      </c>
      <c r="BX49" s="1">
        <f t="shared" si="16"/>
        <v>-5.8479686908352591E-4</v>
      </c>
      <c r="BY49" s="1">
        <f t="shared" si="16"/>
        <v>4.6778199885178395E-2</v>
      </c>
      <c r="BZ49" s="1">
        <f t="shared" si="16"/>
        <v>3.1489915572318727E-2</v>
      </c>
      <c r="CA49" s="1">
        <f t="shared" si="16"/>
        <v>2.1199079675521926E-2</v>
      </c>
      <c r="CB49" s="1">
        <f t="shared" si="16"/>
        <v>3.591873767157816E-2</v>
      </c>
      <c r="CC49" s="1">
        <f t="shared" si="16"/>
        <v>1.2242163023095998E-2</v>
      </c>
      <c r="CD49" s="1">
        <f t="shared" si="16"/>
        <v>2.0056896214893705E-2</v>
      </c>
      <c r="CE49" s="1">
        <f t="shared" si="16"/>
        <v>1.6654365230649892E-2</v>
      </c>
      <c r="CF49" s="1">
        <f t="shared" si="16"/>
        <v>9.8184218361394571E-3</v>
      </c>
      <c r="CG49" s="1">
        <f t="shared" si="16"/>
        <v>-5.061390034156954E-3</v>
      </c>
    </row>
    <row r="50" spans="1:85">
      <c r="A50" s="8">
        <v>2010</v>
      </c>
      <c r="B50">
        <v>3797.9764169999999</v>
      </c>
      <c r="C50">
        <v>4149.3931419999999</v>
      </c>
      <c r="D50">
        <v>90076.083413</v>
      </c>
      <c r="E50">
        <v>14138.974921000001</v>
      </c>
      <c r="F50">
        <v>1963.6064510000001</v>
      </c>
      <c r="G50">
        <v>5862.0549220000003</v>
      </c>
      <c r="H50">
        <v>4916.2596400000002</v>
      </c>
      <c r="I50">
        <v>31482.365052000001</v>
      </c>
      <c r="J50">
        <v>18744.606253000002</v>
      </c>
      <c r="K50">
        <v>1790.9199799999999</v>
      </c>
      <c r="M50">
        <f>B50*$N$1/'biomass Atlantis'!M50</f>
        <v>3.3806722802376672E-3</v>
      </c>
      <c r="N50">
        <f>C50*$N$1/'biomass Atlantis'!N50</f>
        <v>5.4315650480316557E-4</v>
      </c>
      <c r="O50">
        <f>D50*$N$1/'biomass Atlantis'!O50</f>
        <v>6.937480770214291E-2</v>
      </c>
      <c r="P50">
        <f>E50*$N$1/'biomass Atlantis'!P50</f>
        <v>1.1273548377765548E-2</v>
      </c>
      <c r="Q50">
        <f>F50*$N$1/'biomass Atlantis'!Q50</f>
        <v>2.7503931626205861E-3</v>
      </c>
      <c r="R50">
        <f>G50*$N$1/'biomass Atlantis'!R50</f>
        <v>7.6289378090486498E-3</v>
      </c>
      <c r="S50">
        <f>H50*$N$1/'biomass Atlantis'!S50</f>
        <v>1.9498188831673521E-2</v>
      </c>
      <c r="T50">
        <f>I50*$N$1/'biomass Atlantis'!T50</f>
        <v>6.9132197748036596E-3</v>
      </c>
      <c r="U50">
        <f>J50*$N$1/'biomass Atlantis'!U50</f>
        <v>9.2615066669867685E-2</v>
      </c>
      <c r="V50">
        <f>K50*$N$1/'biomass Atlantis'!V50</f>
        <v>1.7438514693122434E-3</v>
      </c>
      <c r="X50">
        <f t="shared" si="1"/>
        <v>3797.9764169999999</v>
      </c>
      <c r="Y50">
        <f t="shared" si="2"/>
        <v>4149.3931419999999</v>
      </c>
      <c r="Z50">
        <f t="shared" si="3"/>
        <v>90076.083413</v>
      </c>
      <c r="AA50">
        <f t="shared" si="4"/>
        <v>14138.974921000001</v>
      </c>
      <c r="AB50">
        <f t="shared" si="5"/>
        <v>1963.6064510000001</v>
      </c>
      <c r="AC50">
        <f t="shared" si="6"/>
        <v>5862.0549220000003</v>
      </c>
      <c r="AD50">
        <f t="shared" si="7"/>
        <v>4916.2596400000002</v>
      </c>
      <c r="AE50">
        <f t="shared" si="8"/>
        <v>31482.365052000001</v>
      </c>
      <c r="AF50">
        <f t="shared" si="9"/>
        <v>18744.606253000002</v>
      </c>
      <c r="AG50">
        <f t="shared" si="10"/>
        <v>1790.9199799999999</v>
      </c>
      <c r="AI50" s="1">
        <f t="shared" si="13"/>
        <v>0.24957978286280591</v>
      </c>
      <c r="AJ50" s="1">
        <f t="shared" si="16"/>
        <v>0.15444915338815268</v>
      </c>
      <c r="AK50" s="1">
        <f t="shared" si="16"/>
        <v>0.23585027166252925</v>
      </c>
      <c r="AL50" s="1">
        <f t="shared" si="16"/>
        <v>0.19184031128419954</v>
      </c>
      <c r="AM50" s="1">
        <f t="shared" si="16"/>
        <v>0.20739304475418718</v>
      </c>
      <c r="AN50" s="1">
        <f t="shared" si="16"/>
        <v>0.34260704507820905</v>
      </c>
      <c r="AO50" s="1">
        <f t="shared" si="16"/>
        <v>0.47324701523372736</v>
      </c>
      <c r="AP50" s="1">
        <f t="shared" si="16"/>
        <v>0.44432008046709504</v>
      </c>
      <c r="AQ50" s="1">
        <f t="shared" si="16"/>
        <v>0.46609066505450336</v>
      </c>
      <c r="AR50" s="1">
        <f t="shared" si="16"/>
        <v>0.50515793170915302</v>
      </c>
      <c r="AS50" s="1">
        <f t="shared" si="16"/>
        <v>0.53927108131443369</v>
      </c>
      <c r="AT50" s="1">
        <f t="shared" si="16"/>
        <v>0.74352600457039497</v>
      </c>
      <c r="AU50" s="1">
        <f t="shared" si="16"/>
        <v>0.90092750116697573</v>
      </c>
      <c r="AV50" s="1">
        <f t="shared" si="16"/>
        <v>0.8719677133834639</v>
      </c>
      <c r="AW50" s="1">
        <f t="shared" si="16"/>
        <v>-1.6509708230751701</v>
      </c>
      <c r="AX50" s="1">
        <f t="shared" si="16"/>
        <v>-1.7773217063472802</v>
      </c>
      <c r="AY50" s="1">
        <f t="shared" si="16"/>
        <v>-1.5965808613296828</v>
      </c>
      <c r="AZ50" s="1">
        <f t="shared" si="16"/>
        <v>-1.5390721978031923</v>
      </c>
      <c r="BA50" s="1">
        <f t="shared" si="16"/>
        <v>-1.7048594863352944</v>
      </c>
      <c r="BB50" s="1">
        <f t="shared" si="16"/>
        <v>-1.8555514042847256</v>
      </c>
      <c r="BC50" s="1">
        <f t="shared" si="16"/>
        <v>-1.7210961574573853</v>
      </c>
      <c r="BD50" s="1">
        <f t="shared" si="16"/>
        <v>-1.5283481207906469</v>
      </c>
      <c r="BE50" s="1">
        <f t="shared" si="16"/>
        <v>-1.6619608197099207</v>
      </c>
      <c r="BF50" s="1">
        <f t="shared" si="16"/>
        <v>-1.3070174296348356</v>
      </c>
      <c r="BG50" s="1">
        <f t="shared" si="16"/>
        <v>-1.3203757542045531</v>
      </c>
      <c r="BH50" s="1">
        <f t="shared" si="16"/>
        <v>-1.2590321494361059</v>
      </c>
      <c r="BI50" s="1">
        <f t="shared" si="16"/>
        <v>-1.4452831936194619</v>
      </c>
      <c r="BJ50" s="1">
        <f t="shared" si="16"/>
        <v>-1.2557602345482606</v>
      </c>
      <c r="BK50" s="1">
        <f t="shared" si="16"/>
        <v>-1.2824416452432168</v>
      </c>
      <c r="BL50" s="1">
        <f t="shared" si="16"/>
        <v>-1.5085253044193505</v>
      </c>
      <c r="BM50" s="1">
        <f t="shared" si="16"/>
        <v>-1.2060063342011602</v>
      </c>
      <c r="BN50" s="1">
        <f t="shared" si="16"/>
        <v>-1.2502725516856652</v>
      </c>
      <c r="BO50" s="1">
        <f t="shared" si="16"/>
        <v>-1.328374431737487</v>
      </c>
      <c r="BP50" s="1">
        <f t="shared" si="16"/>
        <v>-1.2276221356188073</v>
      </c>
      <c r="BQ50" s="1">
        <f t="shared" si="16"/>
        <v>-0.94755280642215323</v>
      </c>
      <c r="BR50" s="1">
        <f t="shared" si="16"/>
        <v>-1.1817609048318036</v>
      </c>
      <c r="BS50" s="1">
        <f t="shared" si="16"/>
        <v>-0.92919194088239165</v>
      </c>
      <c r="BT50" s="1">
        <f t="shared" si="16"/>
        <v>-0.96715603526316207</v>
      </c>
      <c r="BU50" s="1">
        <f t="shared" si="16"/>
        <v>-0.71811401092317229</v>
      </c>
      <c r="BV50" s="1">
        <f t="shared" si="16"/>
        <v>-0.84604732365120561</v>
      </c>
      <c r="BW50" s="1">
        <f t="shared" si="16"/>
        <v>-0.58800858569744707</v>
      </c>
      <c r="BX50" s="1">
        <f t="shared" si="16"/>
        <v>-0.73382204316370081</v>
      </c>
      <c r="BY50" s="1">
        <f t="shared" si="16"/>
        <v>-0.65533671140050198</v>
      </c>
      <c r="BZ50" s="1">
        <f t="shared" si="16"/>
        <v>-0.40874047173367667</v>
      </c>
      <c r="CA50" s="1">
        <f t="shared" si="16"/>
        <v>-0.60665162749649526</v>
      </c>
      <c r="CB50" s="1">
        <f t="shared" si="16"/>
        <v>-0.63473485544174335</v>
      </c>
      <c r="CC50" s="1">
        <f t="shared" si="16"/>
        <v>-0.56672183949218469</v>
      </c>
      <c r="CD50" s="1">
        <f t="shared" si="16"/>
        <v>-0.6021906414036764</v>
      </c>
      <c r="CE50" s="1">
        <f t="shared" si="16"/>
        <v>-0.57960113560346316</v>
      </c>
      <c r="CF50" s="1">
        <f t="shared" si="16"/>
        <v>-0.61611942186541957</v>
      </c>
      <c r="CG50" s="1">
        <f t="shared" si="16"/>
        <v>-0.43025934265184218</v>
      </c>
    </row>
    <row r="51" spans="1:85">
      <c r="A51" s="8">
        <v>2011</v>
      </c>
      <c r="B51">
        <v>3870.8887110000001</v>
      </c>
      <c r="C51">
        <v>4109.60484</v>
      </c>
      <c r="D51">
        <v>78181.993006000004</v>
      </c>
      <c r="E51">
        <v>14556.304953000001</v>
      </c>
      <c r="F51">
        <v>2257.0469189999999</v>
      </c>
      <c r="G51">
        <v>6202.514201</v>
      </c>
      <c r="H51">
        <v>5000.6516620000002</v>
      </c>
      <c r="I51">
        <v>33365.795502000001</v>
      </c>
      <c r="J51">
        <v>18822.733027999999</v>
      </c>
      <c r="K51">
        <v>1806.884677</v>
      </c>
      <c r="M51">
        <f>B51*$N$1/'biomass Atlantis'!M51</f>
        <v>3.5039390527304183E-3</v>
      </c>
      <c r="N51">
        <f>C51*$N$1/'biomass Atlantis'!N51</f>
        <v>5.3737144492167559E-4</v>
      </c>
      <c r="O51">
        <f>D51*$N$1/'biomass Atlantis'!O51</f>
        <v>5.7737663219846358E-2</v>
      </c>
      <c r="P51">
        <f>E51*$N$1/'biomass Atlantis'!P51</f>
        <v>1.1364087305312968E-2</v>
      </c>
      <c r="Q51">
        <f>F51*$N$1/'biomass Atlantis'!Q51</f>
        <v>3.0267025578549172E-3</v>
      </c>
      <c r="R51">
        <f>G51*$N$1/'biomass Atlantis'!R51</f>
        <v>7.8418961382056198E-3</v>
      </c>
      <c r="S51">
        <f>H51*$N$1/'biomass Atlantis'!S51</f>
        <v>1.9852216611455972E-2</v>
      </c>
      <c r="T51">
        <f>I51*$N$1/'biomass Atlantis'!T51</f>
        <v>6.3710580419820226E-3</v>
      </c>
      <c r="U51">
        <f>J51*$N$1/'biomass Atlantis'!U51</f>
        <v>9.17724144434547E-2</v>
      </c>
      <c r="V51">
        <f>K51*$N$1/'biomass Atlantis'!V51</f>
        <v>1.7207031408101403E-3</v>
      </c>
      <c r="X51">
        <f t="shared" si="1"/>
        <v>3870.8887110000001</v>
      </c>
      <c r="Y51">
        <f t="shared" si="2"/>
        <v>4109.60484</v>
      </c>
      <c r="Z51">
        <f t="shared" si="3"/>
        <v>78181.993006000004</v>
      </c>
      <c r="AA51">
        <f t="shared" si="4"/>
        <v>14556.304953000001</v>
      </c>
      <c r="AB51">
        <f t="shared" si="5"/>
        <v>2257.0469189999999</v>
      </c>
      <c r="AC51">
        <f t="shared" si="6"/>
        <v>6202.514201</v>
      </c>
      <c r="AD51">
        <f t="shared" si="7"/>
        <v>5000.6516620000002</v>
      </c>
      <c r="AE51">
        <f t="shared" si="8"/>
        <v>33365.795502000001</v>
      </c>
      <c r="AF51">
        <f t="shared" si="9"/>
        <v>18822.733027999999</v>
      </c>
      <c r="AG51">
        <f t="shared" si="10"/>
        <v>1806.884677</v>
      </c>
      <c r="AI51" s="1">
        <f t="shared" si="13"/>
        <v>-9.741564773613276E-2</v>
      </c>
      <c r="AJ51" s="1">
        <f t="shared" si="16"/>
        <v>-0.20058353406068541</v>
      </c>
      <c r="AK51" s="1">
        <f t="shared" si="16"/>
        <v>-0.32113269771008213</v>
      </c>
      <c r="AL51" s="1">
        <f t="shared" si="16"/>
        <v>-0.34420377714975081</v>
      </c>
      <c r="AM51" s="1">
        <f t="shared" si="16"/>
        <v>-0.32988487429142577</v>
      </c>
      <c r="AN51" s="1">
        <f t="shared" si="16"/>
        <v>-0.31077327420977641</v>
      </c>
      <c r="AO51" s="1">
        <f t="shared" si="16"/>
        <v>-0.2873871059511468</v>
      </c>
      <c r="AP51" s="1">
        <f t="shared" si="16"/>
        <v>-0.26058769840267093</v>
      </c>
      <c r="AQ51" s="1">
        <f t="shared" si="16"/>
        <v>-0.23042715458293173</v>
      </c>
      <c r="AR51" s="1">
        <f t="shared" si="16"/>
        <v>-0.20507516411693061</v>
      </c>
      <c r="AS51" s="1">
        <f t="shared" si="16"/>
        <v>-0.17620137629537957</v>
      </c>
      <c r="AT51" s="1">
        <f t="shared" si="16"/>
        <v>-0.15176502336514486</v>
      </c>
      <c r="AU51" s="1">
        <f t="shared" si="16"/>
        <v>-0.12764362294888754</v>
      </c>
      <c r="AV51" s="1">
        <f t="shared" si="16"/>
        <v>-0.10176020416994658</v>
      </c>
      <c r="AW51" s="1">
        <f t="shared" si="16"/>
        <v>-7.4784511072246707E-2</v>
      </c>
      <c r="AX51" s="1">
        <f t="shared" si="16"/>
        <v>-4.5379938188412794E-2</v>
      </c>
      <c r="AY51" s="1">
        <f t="shared" si="16"/>
        <v>-1.7325505738611247E-2</v>
      </c>
      <c r="AZ51" s="1">
        <f t="shared" si="16"/>
        <v>8.4327445090881525E-3</v>
      </c>
      <c r="BA51" s="1">
        <f t="shared" si="16"/>
        <v>2.7393313482150794E-2</v>
      </c>
      <c r="BB51" s="1">
        <f t="shared" si="16"/>
        <v>5.7411565597704217E-2</v>
      </c>
      <c r="BC51" s="1">
        <f t="shared" si="16"/>
        <v>7.7623741035492411E-2</v>
      </c>
      <c r="BD51" s="1">
        <f t="shared" si="16"/>
        <v>9.7746035903648165E-2</v>
      </c>
      <c r="BE51" s="1">
        <f t="shared" si="16"/>
        <v>0.11811081564684289</v>
      </c>
      <c r="BF51" s="1">
        <f t="shared" si="16"/>
        <v>0.13595546457539909</v>
      </c>
      <c r="BG51" s="1">
        <f t="shared" si="16"/>
        <v>0.15536969204412854</v>
      </c>
      <c r="BH51" s="1">
        <f t="shared" si="16"/>
        <v>0.16298854774381677</v>
      </c>
      <c r="BI51" s="1">
        <f t="shared" si="16"/>
        <v>0.13763407178797893</v>
      </c>
      <c r="BJ51" s="1">
        <f t="shared" si="16"/>
        <v>0.11916071674742978</v>
      </c>
      <c r="BK51" s="1">
        <f t="shared" si="16"/>
        <v>0.11011301423533493</v>
      </c>
      <c r="BL51" s="1">
        <f t="shared" si="16"/>
        <v>0.1242363435085817</v>
      </c>
      <c r="BM51" s="1">
        <f t="shared" si="16"/>
        <v>0.12976498863352537</v>
      </c>
      <c r="BN51" s="1">
        <f t="shared" si="16"/>
        <v>0.12353988542195338</v>
      </c>
      <c r="BO51" s="1">
        <f t="shared" si="16"/>
        <v>0.10812261041259053</v>
      </c>
      <c r="BP51" s="1">
        <f t="shared" si="16"/>
        <v>0.10597129353664081</v>
      </c>
      <c r="BQ51" s="1">
        <f t="shared" si="16"/>
        <v>0.11191396963784062</v>
      </c>
      <c r="BR51" s="1">
        <f t="shared" si="16"/>
        <v>8.787304967613685E-2</v>
      </c>
      <c r="BS51" s="1">
        <f t="shared" si="16"/>
        <v>8.2366174505237755E-2</v>
      </c>
      <c r="BT51" s="1">
        <f t="shared" si="16"/>
        <v>7.0391485898490425E-2</v>
      </c>
      <c r="BU51" s="1">
        <f t="shared" si="16"/>
        <v>5.178238446456529E-2</v>
      </c>
      <c r="BV51" s="1">
        <f t="shared" si="16"/>
        <v>3.4984012513697871E-2</v>
      </c>
      <c r="BW51" s="1">
        <f t="shared" si="16"/>
        <v>2.4893431117614884E-2</v>
      </c>
      <c r="BX51" s="1">
        <f t="shared" si="16"/>
        <v>3.1875452572057705E-2</v>
      </c>
      <c r="BY51" s="1">
        <f t="shared" si="16"/>
        <v>1.3063205943686151E-2</v>
      </c>
      <c r="BZ51" s="1">
        <f t="shared" si="16"/>
        <v>5.6982857396365993E-3</v>
      </c>
      <c r="CA51" s="1">
        <f t="shared" si="16"/>
        <v>-1.2839490801252351E-2</v>
      </c>
      <c r="CB51" s="1">
        <f t="shared" si="16"/>
        <v>-1.2154656836695477E-2</v>
      </c>
      <c r="CC51" s="1">
        <f t="shared" si="16"/>
        <v>-1.0602211672589457E-2</v>
      </c>
      <c r="CD51" s="1">
        <f t="shared" si="16"/>
        <v>-1.4571697644190751E-2</v>
      </c>
      <c r="CE51" s="1">
        <f t="shared" si="16"/>
        <v>-1.8749063572178759E-2</v>
      </c>
      <c r="CF51" s="1">
        <f t="shared" si="16"/>
        <v>-2.4322651924393313E-2</v>
      </c>
      <c r="CG51" s="1">
        <f t="shared" si="16"/>
        <v>-3.1758027217126061E-2</v>
      </c>
    </row>
    <row r="52" spans="1:85">
      <c r="A52" s="8">
        <v>2012</v>
      </c>
      <c r="B52">
        <v>3822.2195379999998</v>
      </c>
      <c r="C52">
        <v>4049.194176</v>
      </c>
      <c r="D52">
        <v>86471.902742000006</v>
      </c>
      <c r="E52">
        <v>14636.329318</v>
      </c>
      <c r="F52">
        <v>2349.413724</v>
      </c>
      <c r="G52">
        <v>6215.9796779999997</v>
      </c>
      <c r="H52">
        <v>4977.0424949999997</v>
      </c>
      <c r="I52">
        <v>38882.382590000001</v>
      </c>
      <c r="J52">
        <v>18853.688052000001</v>
      </c>
      <c r="K52">
        <v>1811.868878</v>
      </c>
      <c r="M52">
        <f>B52*$N$1/'biomass Atlantis'!M52</f>
        <v>3.493811651520724E-3</v>
      </c>
      <c r="N52">
        <f>C52*$N$1/'biomass Atlantis'!N52</f>
        <v>5.2617990613869152E-4</v>
      </c>
      <c r="O52">
        <f>D52*$N$1/'biomass Atlantis'!O52</f>
        <v>7.0963378220050874E-2</v>
      </c>
      <c r="P52">
        <f>E52*$N$1/'biomass Atlantis'!P52</f>
        <v>1.1284098219512482E-2</v>
      </c>
      <c r="Q52">
        <f>F52*$N$1/'biomass Atlantis'!Q52</f>
        <v>2.9795635620243135E-3</v>
      </c>
      <c r="R52">
        <f>G52*$N$1/'biomass Atlantis'!R52</f>
        <v>7.7391801562610215E-3</v>
      </c>
      <c r="S52">
        <f>H52*$N$1/'biomass Atlantis'!S52</f>
        <v>1.9697289783920543E-2</v>
      </c>
      <c r="T52">
        <f>I52*$N$1/'biomass Atlantis'!T52</f>
        <v>6.7112136921874364E-3</v>
      </c>
      <c r="U52">
        <f>J52*$N$1/'biomass Atlantis'!U52</f>
        <v>9.0893911223121515E-2</v>
      </c>
      <c r="V52">
        <f>K52*$N$1/'biomass Atlantis'!V52</f>
        <v>1.6892397699766093E-3</v>
      </c>
      <c r="X52">
        <f t="shared" si="1"/>
        <v>3822.2195379999998</v>
      </c>
      <c r="Y52">
        <f t="shared" si="2"/>
        <v>4049.194176</v>
      </c>
      <c r="Z52">
        <f t="shared" si="3"/>
        <v>86471.902742000006</v>
      </c>
      <c r="AA52">
        <f t="shared" si="4"/>
        <v>14636.329318</v>
      </c>
      <c r="AB52">
        <f t="shared" si="5"/>
        <v>2349.413724</v>
      </c>
      <c r="AC52">
        <f t="shared" si="6"/>
        <v>6215.9796779999997</v>
      </c>
      <c r="AD52">
        <f t="shared" si="7"/>
        <v>4977.0424949999997</v>
      </c>
      <c r="AE52">
        <f t="shared" si="8"/>
        <v>38882.382590000001</v>
      </c>
      <c r="AF52">
        <f t="shared" si="9"/>
        <v>18853.688052000001</v>
      </c>
      <c r="AG52">
        <f t="shared" si="10"/>
        <v>1811.868878</v>
      </c>
      <c r="AI52" s="1">
        <v>-999</v>
      </c>
      <c r="AJ52" s="1">
        <v>-999</v>
      </c>
      <c r="AK52" s="1">
        <v>-999</v>
      </c>
      <c r="AL52" s="1">
        <v>-999</v>
      </c>
      <c r="AM52" s="1">
        <v>-999</v>
      </c>
      <c r="AN52" s="1">
        <v>-999</v>
      </c>
      <c r="AO52" s="1">
        <v>-999</v>
      </c>
      <c r="AP52" s="1">
        <v>-999</v>
      </c>
      <c r="AQ52" s="1">
        <v>-999</v>
      </c>
      <c r="AR52" s="1">
        <v>-999</v>
      </c>
      <c r="AS52" s="1">
        <v>-999</v>
      </c>
      <c r="AT52" s="1">
        <v>-999</v>
      </c>
      <c r="AU52" s="1">
        <v>-999</v>
      </c>
      <c r="AV52" s="1">
        <v>-999</v>
      </c>
      <c r="AW52" s="1">
        <v>-999</v>
      </c>
      <c r="AX52" s="1">
        <v>-999</v>
      </c>
      <c r="AY52" s="1">
        <v>-999</v>
      </c>
      <c r="AZ52" s="1">
        <v>-999</v>
      </c>
      <c r="BA52" s="1">
        <v>-999</v>
      </c>
      <c r="BB52" s="1">
        <v>-999</v>
      </c>
      <c r="BC52" s="1">
        <v>-999</v>
      </c>
      <c r="BD52" s="1">
        <v>-999</v>
      </c>
      <c r="BE52" s="1">
        <v>-999</v>
      </c>
      <c r="BF52" s="1">
        <v>-999</v>
      </c>
      <c r="BG52" s="1">
        <v>-999</v>
      </c>
      <c r="BH52" s="1">
        <v>-999</v>
      </c>
      <c r="BI52" s="1">
        <v>-999</v>
      </c>
      <c r="BJ52" s="1">
        <v>-999</v>
      </c>
      <c r="BK52" s="1">
        <v>-999</v>
      </c>
      <c r="BL52" s="1">
        <v>-999</v>
      </c>
      <c r="BM52" s="1">
        <v>-999</v>
      </c>
      <c r="BN52" s="1">
        <v>-999</v>
      </c>
      <c r="BO52" s="1">
        <v>-999</v>
      </c>
      <c r="BP52" s="1">
        <v>-999</v>
      </c>
      <c r="BQ52" s="1">
        <v>-999</v>
      </c>
      <c r="BR52" s="1">
        <v>-999</v>
      </c>
      <c r="BS52" s="1">
        <v>-999</v>
      </c>
      <c r="BT52" s="1">
        <v>-999</v>
      </c>
      <c r="BU52" s="1">
        <v>-999</v>
      </c>
      <c r="BV52" s="1">
        <v>-999</v>
      </c>
      <c r="BW52" s="1">
        <v>-999</v>
      </c>
      <c r="BX52" s="1">
        <v>-999</v>
      </c>
      <c r="BY52" s="1">
        <v>-999</v>
      </c>
      <c r="BZ52" s="1">
        <v>-999</v>
      </c>
      <c r="CA52" s="1">
        <v>-999</v>
      </c>
      <c r="CB52" s="1">
        <v>-999</v>
      </c>
      <c r="CC52" s="1">
        <v>-999</v>
      </c>
      <c r="CD52" s="1">
        <v>-999</v>
      </c>
      <c r="CE52" s="1">
        <v>-999</v>
      </c>
      <c r="CF52" s="1">
        <v>-999</v>
      </c>
      <c r="CG52" s="1">
        <v>-999</v>
      </c>
    </row>
    <row r="53" spans="1:85">
      <c r="A53" s="8">
        <v>2013</v>
      </c>
      <c r="B53">
        <v>3678.5925990000001</v>
      </c>
      <c r="C53">
        <v>3994.5308519999999</v>
      </c>
      <c r="D53">
        <v>76484.708933000002</v>
      </c>
      <c r="E53">
        <v>14710.997042000001</v>
      </c>
      <c r="F53">
        <v>2324.4415119999999</v>
      </c>
      <c r="G53">
        <v>6257.5462859999998</v>
      </c>
      <c r="H53">
        <v>4970.1683199999998</v>
      </c>
      <c r="I53">
        <v>39616.946257000003</v>
      </c>
      <c r="J53">
        <v>18882.704839000002</v>
      </c>
      <c r="K53">
        <v>1817.7071490000001</v>
      </c>
      <c r="M53">
        <f>B53*$N$1/'biomass Atlantis'!M53</f>
        <v>3.4184616428677424E-3</v>
      </c>
      <c r="N53">
        <f>C53*$N$1/'biomass Atlantis'!N53</f>
        <v>5.1820051845287061E-4</v>
      </c>
      <c r="O53">
        <f>D53*$N$1/'biomass Atlantis'!O53</f>
        <v>6.7508655026371225E-2</v>
      </c>
      <c r="P53">
        <f>E53*$N$1/'biomass Atlantis'!P53</f>
        <v>1.1112573789798174E-2</v>
      </c>
      <c r="Q53">
        <f>F53*$N$1/'biomass Atlantis'!Q53</f>
        <v>2.7604569924814075E-3</v>
      </c>
      <c r="R53">
        <f>G53*$N$1/'biomass Atlantis'!R53</f>
        <v>7.5077152292996772E-3</v>
      </c>
      <c r="S53">
        <f>H53*$N$1/'biomass Atlantis'!S53</f>
        <v>1.9389675050524049E-2</v>
      </c>
      <c r="T53">
        <f>I53*$N$1/'biomass Atlantis'!T53</f>
        <v>6.1699661469174494E-3</v>
      </c>
      <c r="U53">
        <f>J53*$N$1/'biomass Atlantis'!U53</f>
        <v>8.973486286352729E-2</v>
      </c>
      <c r="V53">
        <f>K53*$N$1/'biomass Atlantis'!V53</f>
        <v>1.6486315041000649E-3</v>
      </c>
      <c r="X53">
        <f t="shared" si="1"/>
        <v>3678.5925990000001</v>
      </c>
      <c r="Y53">
        <f t="shared" si="2"/>
        <v>3994.5308519999999</v>
      </c>
      <c r="Z53">
        <f t="shared" si="3"/>
        <v>76484.708933000002</v>
      </c>
      <c r="AA53">
        <f t="shared" si="4"/>
        <v>14710.997042000001</v>
      </c>
      <c r="AB53">
        <f t="shared" si="5"/>
        <v>2324.4415119999999</v>
      </c>
      <c r="AC53">
        <f t="shared" si="6"/>
        <v>6257.5462859999998</v>
      </c>
      <c r="AD53">
        <f t="shared" si="7"/>
        <v>4970.1683199999998</v>
      </c>
      <c r="AE53">
        <f t="shared" si="8"/>
        <v>39616.946257000003</v>
      </c>
      <c r="AF53">
        <f t="shared" si="9"/>
        <v>18882.704839000002</v>
      </c>
      <c r="AG53">
        <f t="shared" si="10"/>
        <v>1817.7071490000001</v>
      </c>
    </row>
    <row r="54" spans="1:85">
      <c r="A54" s="8">
        <v>2014</v>
      </c>
      <c r="B54">
        <v>3957.6526990000002</v>
      </c>
      <c r="C54">
        <v>3982.5565769999998</v>
      </c>
      <c r="D54">
        <v>72211.031719999999</v>
      </c>
      <c r="E54">
        <v>14864.083708</v>
      </c>
      <c r="F54">
        <v>2534.084883</v>
      </c>
      <c r="G54">
        <v>6512.2251749999996</v>
      </c>
      <c r="H54">
        <v>4916.2449210000004</v>
      </c>
      <c r="I54">
        <v>46583.644630000003</v>
      </c>
      <c r="J54">
        <v>18748.081741000002</v>
      </c>
      <c r="K54">
        <v>1896.3325110000001</v>
      </c>
      <c r="M54">
        <f>B54*$N$1/'biomass Atlantis'!M54</f>
        <v>3.4895997357679174E-3</v>
      </c>
      <c r="N54">
        <f>C54*$N$1/'biomass Atlantis'!N54</f>
        <v>5.1567415553601358E-4</v>
      </c>
      <c r="O54">
        <f>D54*$N$1/'biomass Atlantis'!O54</f>
        <v>6.7040694910035198E-2</v>
      </c>
      <c r="P54">
        <f>E54*$N$1/'biomass Atlantis'!P54</f>
        <v>1.1089947183912452E-2</v>
      </c>
      <c r="Q54">
        <f>F54*$N$1/'biomass Atlantis'!Q54</f>
        <v>2.8849114103801517E-3</v>
      </c>
      <c r="R54">
        <f>G54*$N$1/'biomass Atlantis'!R54</f>
        <v>7.7034857634918135E-3</v>
      </c>
      <c r="S54">
        <f>H54*$N$1/'biomass Atlantis'!S54</f>
        <v>1.8736597137980673E-2</v>
      </c>
      <c r="T54">
        <f>I54*$N$1/'biomass Atlantis'!T54</f>
        <v>9.4654847557395869E-3</v>
      </c>
      <c r="U54">
        <f>J54*$N$1/'biomass Atlantis'!U54</f>
        <v>8.8211626136447313E-2</v>
      </c>
      <c r="V54">
        <f>K54*$N$1/'biomass Atlantis'!V54</f>
        <v>1.6817202157949119E-3</v>
      </c>
      <c r="X54">
        <f t="shared" si="1"/>
        <v>3957.6526990000002</v>
      </c>
      <c r="Y54">
        <f t="shared" si="2"/>
        <v>3982.5565769999998</v>
      </c>
      <c r="Z54">
        <f t="shared" si="3"/>
        <v>72211.031719999999</v>
      </c>
      <c r="AA54">
        <f t="shared" si="4"/>
        <v>14864.083708</v>
      </c>
      <c r="AB54">
        <f t="shared" si="5"/>
        <v>2534.084883</v>
      </c>
      <c r="AC54">
        <f t="shared" si="6"/>
        <v>6512.2251749999996</v>
      </c>
      <c r="AD54">
        <f t="shared" si="7"/>
        <v>4916.2449210000004</v>
      </c>
      <c r="AE54">
        <f t="shared" si="8"/>
        <v>46583.644630000003</v>
      </c>
      <c r="AF54">
        <f t="shared" si="9"/>
        <v>18748.081741000002</v>
      </c>
      <c r="AG54">
        <f t="shared" si="10"/>
        <v>1896.3325110000001</v>
      </c>
    </row>
    <row r="55" spans="1:85">
      <c r="A55" s="9">
        <v>2014.14</v>
      </c>
      <c r="B55">
        <v>62.227933</v>
      </c>
      <c r="C55">
        <v>111.28028</v>
      </c>
      <c r="D55">
        <v>2344.7996990000001</v>
      </c>
      <c r="E55">
        <v>425.37399199999999</v>
      </c>
      <c r="F55">
        <v>52.441119</v>
      </c>
      <c r="G55">
        <v>148.34513000000001</v>
      </c>
      <c r="H55">
        <v>57.118746999999999</v>
      </c>
      <c r="I55">
        <v>185.22793999999999</v>
      </c>
      <c r="J55">
        <v>421.23437200000001</v>
      </c>
      <c r="K55">
        <v>53.894835</v>
      </c>
      <c r="M55">
        <f>B55*$N$1/'biomass Atlantis'!M55</f>
        <v>5.4667128575859835E-5</v>
      </c>
      <c r="N55">
        <f>C55*$N$1/'biomass Atlantis'!N55</f>
        <v>1.4338526625063682E-5</v>
      </c>
      <c r="O55">
        <f>D55*$N$1/'biomass Atlantis'!O55</f>
        <v>2.126275288171527E-3</v>
      </c>
      <c r="P55">
        <f>E55*$N$1/'biomass Atlantis'!P55</f>
        <v>3.1693904316684881E-4</v>
      </c>
      <c r="Q55">
        <f>F55*$N$1/'biomass Atlantis'!Q55</f>
        <v>6.1130230735781195E-5</v>
      </c>
      <c r="R55">
        <f>G55*$N$1/'biomass Atlantis'!R55</f>
        <v>1.7793097204640322E-4</v>
      </c>
      <c r="S55">
        <f>H55*$N$1/'biomass Atlantis'!S55</f>
        <v>2.3019120974132387E-4</v>
      </c>
      <c r="T55">
        <f>I55*$N$1/'biomass Atlantis'!T55</f>
        <v>3.760956055928812E-5</v>
      </c>
      <c r="U55">
        <f>J55*$N$1/'biomass Atlantis'!U55</f>
        <v>2.1392952052368321E-3</v>
      </c>
      <c r="V55">
        <f>K55*$N$1/'biomass Atlantis'!V55</f>
        <v>4.8103288827298982E-5</v>
      </c>
      <c r="X55">
        <f t="shared" si="1"/>
        <v>62.227933</v>
      </c>
      <c r="Y55">
        <f t="shared" si="2"/>
        <v>111.28028</v>
      </c>
      <c r="Z55">
        <f t="shared" si="3"/>
        <v>2344.7996990000001</v>
      </c>
      <c r="AA55">
        <f t="shared" si="4"/>
        <v>425.37399199999999</v>
      </c>
      <c r="AB55">
        <f t="shared" si="5"/>
        <v>52.441119</v>
      </c>
      <c r="AC55">
        <f t="shared" si="6"/>
        <v>148.34513000000001</v>
      </c>
      <c r="AD55">
        <f t="shared" si="7"/>
        <v>57.118746999999999</v>
      </c>
      <c r="AE55">
        <f t="shared" si="8"/>
        <v>185.22793999999999</v>
      </c>
      <c r="AF55">
        <f t="shared" si="9"/>
        <v>421.23437200000001</v>
      </c>
      <c r="AG55">
        <f t="shared" si="10"/>
        <v>53.894835</v>
      </c>
    </row>
    <row r="56" spans="1:85">
      <c r="AI56">
        <f>10^-999</f>
        <v>0</v>
      </c>
    </row>
  </sheetData>
  <pageMargins left="0.7" right="0.7" top="0.75" bottom="0.75" header="0.3" footer="0.3"/>
  <pageSetup orientation="portrait" horizontalDpi="1200" verticalDpi="12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9"/>
  <sheetViews>
    <sheetView workbookViewId="0">
      <selection activeCell="O12" sqref="O12"/>
    </sheetView>
  </sheetViews>
  <sheetFormatPr baseColWidth="10" defaultColWidth="8.83203125" defaultRowHeight="14" x14ac:dyDescent="0"/>
  <sheetData>
    <row r="1" spans="1:12">
      <c r="A1" t="s">
        <v>226</v>
      </c>
      <c r="B1" t="s">
        <v>227</v>
      </c>
      <c r="C1" t="s">
        <v>228</v>
      </c>
      <c r="D1" t="s">
        <v>229</v>
      </c>
      <c r="E1" t="s">
        <v>41</v>
      </c>
      <c r="F1" t="s">
        <v>230</v>
      </c>
      <c r="G1" t="s">
        <v>225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</row>
    <row r="2" spans="1:12">
      <c r="A2" t="s">
        <v>177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241</v>
      </c>
    </row>
    <row r="3" spans="1:12">
      <c r="A3">
        <v>1960</v>
      </c>
      <c r="B3">
        <v>40800</v>
      </c>
      <c r="C3">
        <v>77</v>
      </c>
      <c r="D3">
        <v>0</v>
      </c>
      <c r="E3">
        <v>0</v>
      </c>
      <c r="F3">
        <v>0</v>
      </c>
      <c r="G3">
        <v>40877</v>
      </c>
    </row>
    <row r="4" spans="1:12">
      <c r="A4">
        <v>1961</v>
      </c>
      <c r="B4">
        <v>46384</v>
      </c>
      <c r="C4">
        <v>266</v>
      </c>
      <c r="D4">
        <v>0</v>
      </c>
      <c r="E4">
        <v>0</v>
      </c>
      <c r="F4">
        <v>0</v>
      </c>
      <c r="G4">
        <v>46650</v>
      </c>
    </row>
    <row r="5" spans="1:12">
      <c r="A5">
        <v>1962</v>
      </c>
      <c r="B5">
        <v>49409</v>
      </c>
      <c r="C5">
        <v>3461</v>
      </c>
      <c r="D5">
        <v>1134</v>
      </c>
      <c r="E5">
        <v>0</v>
      </c>
      <c r="F5">
        <v>0</v>
      </c>
      <c r="G5">
        <v>54004</v>
      </c>
    </row>
    <row r="6" spans="1:12">
      <c r="A6">
        <v>1963</v>
      </c>
      <c r="B6">
        <v>44150</v>
      </c>
      <c r="C6">
        <v>8379</v>
      </c>
      <c r="D6">
        <v>2317</v>
      </c>
      <c r="E6">
        <v>0</v>
      </c>
      <c r="F6">
        <v>0</v>
      </c>
      <c r="G6">
        <v>54846</v>
      </c>
    </row>
    <row r="7" spans="1:12">
      <c r="A7">
        <v>1964</v>
      </c>
      <c r="B7">
        <v>46512</v>
      </c>
      <c r="C7">
        <v>11625</v>
      </c>
      <c r="D7">
        <v>5483</v>
      </c>
      <c r="E7">
        <v>2</v>
      </c>
      <c r="F7">
        <v>464</v>
      </c>
      <c r="G7">
        <v>64086</v>
      </c>
    </row>
    <row r="8" spans="1:12">
      <c r="A8">
        <v>1965</v>
      </c>
      <c r="B8">
        <v>52823</v>
      </c>
      <c r="C8">
        <v>14889</v>
      </c>
      <c r="D8">
        <v>81882</v>
      </c>
      <c r="E8">
        <v>10</v>
      </c>
      <c r="F8">
        <v>758</v>
      </c>
      <c r="G8">
        <v>150362</v>
      </c>
      <c r="I8">
        <v>57204.66779</v>
      </c>
    </row>
    <row r="9" spans="1:12">
      <c r="A9">
        <v>1966</v>
      </c>
      <c r="B9">
        <v>52918</v>
      </c>
      <c r="C9">
        <v>18292</v>
      </c>
      <c r="D9">
        <v>48409</v>
      </c>
      <c r="E9">
        <v>1111</v>
      </c>
      <c r="F9">
        <v>544</v>
      </c>
      <c r="G9">
        <v>121274</v>
      </c>
      <c r="I9">
        <v>26538.516350000002</v>
      </c>
    </row>
    <row r="10" spans="1:12">
      <c r="A10">
        <v>1967</v>
      </c>
      <c r="B10">
        <v>34728</v>
      </c>
      <c r="C10">
        <v>13040</v>
      </c>
      <c r="D10">
        <v>2316</v>
      </c>
      <c r="E10">
        <v>1355</v>
      </c>
      <c r="F10">
        <v>30</v>
      </c>
      <c r="G10">
        <v>51469</v>
      </c>
      <c r="I10">
        <v>17264.20909</v>
      </c>
    </row>
    <row r="11" spans="1:12">
      <c r="A11">
        <v>1968</v>
      </c>
      <c r="B11">
        <v>25469</v>
      </c>
      <c r="C11">
        <v>9323</v>
      </c>
      <c r="D11">
        <v>1397</v>
      </c>
      <c r="E11">
        <v>3014</v>
      </c>
      <c r="F11">
        <v>1720</v>
      </c>
      <c r="G11">
        <v>40923</v>
      </c>
      <c r="I11">
        <v>12950.621220000001</v>
      </c>
    </row>
    <row r="12" spans="1:12">
      <c r="A12">
        <v>1969</v>
      </c>
      <c r="B12">
        <v>16456</v>
      </c>
      <c r="C12">
        <v>3990</v>
      </c>
      <c r="D12">
        <v>65</v>
      </c>
      <c r="E12">
        <v>1201</v>
      </c>
      <c r="F12">
        <v>540</v>
      </c>
      <c r="G12">
        <v>22252</v>
      </c>
      <c r="I12">
        <v>10401.10608</v>
      </c>
    </row>
    <row r="13" spans="1:12">
      <c r="A13">
        <v>1970</v>
      </c>
      <c r="B13">
        <v>8415</v>
      </c>
      <c r="C13">
        <v>1978</v>
      </c>
      <c r="D13">
        <v>103</v>
      </c>
      <c r="E13">
        <v>782</v>
      </c>
      <c r="F13">
        <v>22</v>
      </c>
      <c r="G13">
        <v>11300</v>
      </c>
      <c r="I13">
        <v>8909.7641509999994</v>
      </c>
    </row>
    <row r="14" spans="1:12">
      <c r="A14">
        <v>1971</v>
      </c>
      <c r="B14">
        <v>7306</v>
      </c>
      <c r="C14">
        <v>1630</v>
      </c>
      <c r="D14">
        <v>374</v>
      </c>
      <c r="E14">
        <v>1310</v>
      </c>
      <c r="F14">
        <v>242</v>
      </c>
      <c r="G14">
        <v>10862</v>
      </c>
      <c r="I14">
        <v>7915.8453799999997</v>
      </c>
    </row>
    <row r="15" spans="1:12">
      <c r="A15">
        <v>1972</v>
      </c>
      <c r="B15">
        <v>3869</v>
      </c>
      <c r="C15">
        <v>742</v>
      </c>
      <c r="D15">
        <v>137</v>
      </c>
      <c r="E15">
        <v>1098</v>
      </c>
      <c r="F15">
        <v>20</v>
      </c>
      <c r="G15">
        <v>5866</v>
      </c>
      <c r="I15">
        <v>7174.4923760000001</v>
      </c>
    </row>
    <row r="16" spans="1:12">
      <c r="A16">
        <v>1973</v>
      </c>
      <c r="B16">
        <v>2777</v>
      </c>
      <c r="C16">
        <v>1661</v>
      </c>
      <c r="D16">
        <v>602</v>
      </c>
      <c r="E16">
        <v>386</v>
      </c>
      <c r="F16">
        <v>3</v>
      </c>
      <c r="G16">
        <v>5429</v>
      </c>
      <c r="I16">
        <v>6635.5679760000003</v>
      </c>
    </row>
    <row r="17" spans="1:9">
      <c r="A17">
        <v>1974</v>
      </c>
      <c r="B17">
        <v>2396</v>
      </c>
      <c r="C17">
        <v>622</v>
      </c>
      <c r="D17">
        <v>109</v>
      </c>
      <c r="E17">
        <v>764</v>
      </c>
      <c r="F17">
        <v>559</v>
      </c>
      <c r="G17">
        <v>4450</v>
      </c>
      <c r="I17">
        <v>6269.4077989999996</v>
      </c>
    </row>
    <row r="18" spans="1:9">
      <c r="A18">
        <v>1975</v>
      </c>
      <c r="B18">
        <v>3989</v>
      </c>
      <c r="C18">
        <v>1544</v>
      </c>
      <c r="D18">
        <v>8</v>
      </c>
      <c r="E18">
        <v>61</v>
      </c>
      <c r="F18">
        <v>4</v>
      </c>
      <c r="G18">
        <v>5606</v>
      </c>
      <c r="I18">
        <v>5952.4677389999997</v>
      </c>
    </row>
    <row r="19" spans="1:9">
      <c r="A19">
        <v>1976</v>
      </c>
      <c r="B19">
        <v>2904</v>
      </c>
      <c r="C19">
        <v>1521</v>
      </c>
      <c r="D19">
        <v>4</v>
      </c>
      <c r="E19">
        <v>46</v>
      </c>
      <c r="F19">
        <v>9</v>
      </c>
      <c r="G19">
        <v>4484</v>
      </c>
      <c r="I19">
        <v>5965.4156839999996</v>
      </c>
    </row>
    <row r="20" spans="1:9">
      <c r="A20">
        <v>1977</v>
      </c>
      <c r="B20">
        <v>7934</v>
      </c>
      <c r="C20">
        <v>3060</v>
      </c>
      <c r="D20">
        <v>0</v>
      </c>
      <c r="E20">
        <v>0</v>
      </c>
      <c r="F20">
        <v>0</v>
      </c>
      <c r="G20">
        <v>10994</v>
      </c>
      <c r="I20">
        <v>5759.2543180000002</v>
      </c>
    </row>
    <row r="21" spans="1:9">
      <c r="A21">
        <v>1978</v>
      </c>
      <c r="B21">
        <v>12160</v>
      </c>
      <c r="C21">
        <v>10356</v>
      </c>
      <c r="D21">
        <v>0</v>
      </c>
      <c r="E21">
        <v>0</v>
      </c>
      <c r="F21">
        <v>0</v>
      </c>
      <c r="G21">
        <v>22516</v>
      </c>
      <c r="I21">
        <v>5639.0006940000003</v>
      </c>
    </row>
    <row r="22" spans="1:9">
      <c r="A22">
        <v>1979</v>
      </c>
      <c r="B22">
        <v>14279</v>
      </c>
      <c r="C22">
        <v>5368</v>
      </c>
      <c r="D22">
        <v>0</v>
      </c>
      <c r="E22">
        <v>0</v>
      </c>
      <c r="F22">
        <v>0</v>
      </c>
      <c r="G22">
        <v>19647</v>
      </c>
      <c r="I22">
        <v>5567.9783319999997</v>
      </c>
    </row>
    <row r="23" spans="1:9">
      <c r="A23">
        <v>1980</v>
      </c>
      <c r="B23">
        <v>17470</v>
      </c>
      <c r="C23">
        <v>10168</v>
      </c>
      <c r="D23">
        <v>0</v>
      </c>
      <c r="E23">
        <v>0</v>
      </c>
      <c r="F23">
        <v>0</v>
      </c>
      <c r="G23">
        <v>27638</v>
      </c>
      <c r="I23">
        <v>5208.6910470000003</v>
      </c>
    </row>
    <row r="24" spans="1:9">
      <c r="A24">
        <v>1981</v>
      </c>
      <c r="B24">
        <v>19176</v>
      </c>
      <c r="C24">
        <v>5835</v>
      </c>
      <c r="D24">
        <v>0</v>
      </c>
      <c r="E24">
        <v>0</v>
      </c>
      <c r="F24">
        <v>0</v>
      </c>
      <c r="G24">
        <v>25011</v>
      </c>
      <c r="I24">
        <v>4948.7461640000001</v>
      </c>
    </row>
    <row r="25" spans="1:9">
      <c r="A25">
        <v>1982</v>
      </c>
      <c r="B25">
        <v>12625</v>
      </c>
      <c r="C25">
        <v>5002</v>
      </c>
      <c r="D25">
        <v>0</v>
      </c>
      <c r="E25">
        <v>0</v>
      </c>
      <c r="F25">
        <v>0</v>
      </c>
      <c r="G25">
        <v>17627</v>
      </c>
      <c r="I25">
        <v>4759.3331710000002</v>
      </c>
    </row>
    <row r="26" spans="1:9">
      <c r="A26">
        <v>1983</v>
      </c>
      <c r="B26">
        <v>8682</v>
      </c>
      <c r="C26">
        <v>3327</v>
      </c>
      <c r="D26">
        <v>0</v>
      </c>
      <c r="E26">
        <v>0</v>
      </c>
      <c r="F26">
        <v>0</v>
      </c>
      <c r="G26">
        <v>12009</v>
      </c>
      <c r="I26">
        <v>4530.1182490000001</v>
      </c>
    </row>
    <row r="27" spans="1:9">
      <c r="A27">
        <v>1984</v>
      </c>
      <c r="B27">
        <v>8807</v>
      </c>
      <c r="C27">
        <v>1587</v>
      </c>
      <c r="D27">
        <v>0</v>
      </c>
      <c r="E27">
        <v>0</v>
      </c>
      <c r="F27">
        <v>0</v>
      </c>
      <c r="G27">
        <v>10394</v>
      </c>
      <c r="I27">
        <v>4321.5343780000003</v>
      </c>
    </row>
    <row r="28" spans="1:9">
      <c r="A28">
        <v>1985</v>
      </c>
      <c r="B28">
        <v>4273</v>
      </c>
      <c r="C28">
        <v>3670</v>
      </c>
      <c r="D28">
        <v>0</v>
      </c>
      <c r="E28">
        <v>0</v>
      </c>
      <c r="F28">
        <v>0</v>
      </c>
      <c r="G28">
        <v>7943</v>
      </c>
      <c r="I28">
        <v>3741.3557340000002</v>
      </c>
    </row>
    <row r="29" spans="1:9">
      <c r="A29">
        <v>1986</v>
      </c>
      <c r="B29">
        <v>3339</v>
      </c>
      <c r="C29">
        <v>3507</v>
      </c>
      <c r="D29">
        <v>0</v>
      </c>
      <c r="E29">
        <v>0</v>
      </c>
      <c r="F29">
        <v>0</v>
      </c>
      <c r="G29">
        <v>6846</v>
      </c>
      <c r="I29">
        <v>3465.5037470000002</v>
      </c>
    </row>
    <row r="30" spans="1:9">
      <c r="A30">
        <v>1987</v>
      </c>
      <c r="B30">
        <v>2156</v>
      </c>
      <c r="C30">
        <v>4841</v>
      </c>
      <c r="D30">
        <v>0</v>
      </c>
      <c r="E30">
        <v>0</v>
      </c>
      <c r="F30">
        <v>0</v>
      </c>
      <c r="G30">
        <v>6997</v>
      </c>
      <c r="I30">
        <v>2933.474909</v>
      </c>
    </row>
    <row r="31" spans="1:9">
      <c r="A31">
        <v>1988</v>
      </c>
      <c r="B31">
        <v>2492</v>
      </c>
      <c r="C31">
        <v>4197</v>
      </c>
      <c r="D31">
        <v>0</v>
      </c>
      <c r="E31">
        <v>0</v>
      </c>
      <c r="F31">
        <v>0</v>
      </c>
      <c r="G31">
        <v>6689</v>
      </c>
      <c r="I31">
        <v>2562.8734890000001</v>
      </c>
    </row>
    <row r="32" spans="1:9">
      <c r="A32">
        <v>1989</v>
      </c>
      <c r="B32">
        <v>1718</v>
      </c>
      <c r="C32">
        <v>3197</v>
      </c>
      <c r="D32">
        <v>0</v>
      </c>
      <c r="E32">
        <v>0</v>
      </c>
      <c r="F32">
        <v>0</v>
      </c>
      <c r="G32">
        <v>4915</v>
      </c>
      <c r="I32">
        <v>2180.3635829999998</v>
      </c>
    </row>
    <row r="33" spans="1:9">
      <c r="A33">
        <v>1990</v>
      </c>
      <c r="B33">
        <v>2106</v>
      </c>
      <c r="C33">
        <v>3468</v>
      </c>
      <c r="D33">
        <v>0</v>
      </c>
      <c r="E33">
        <v>0</v>
      </c>
      <c r="F33">
        <v>0</v>
      </c>
      <c r="G33">
        <v>5574</v>
      </c>
      <c r="I33">
        <v>1637.657655</v>
      </c>
    </row>
    <row r="34" spans="1:9">
      <c r="A34">
        <v>1991</v>
      </c>
      <c r="B34">
        <v>1434</v>
      </c>
      <c r="C34">
        <v>5563</v>
      </c>
      <c r="D34">
        <v>0</v>
      </c>
      <c r="E34">
        <v>0</v>
      </c>
      <c r="F34">
        <v>0</v>
      </c>
      <c r="G34">
        <v>6997</v>
      </c>
      <c r="I34">
        <v>1427.834374</v>
      </c>
    </row>
    <row r="35" spans="1:9">
      <c r="A35">
        <v>1992</v>
      </c>
      <c r="B35">
        <v>2053</v>
      </c>
      <c r="C35">
        <v>4191</v>
      </c>
      <c r="D35">
        <v>0</v>
      </c>
      <c r="E35">
        <v>0</v>
      </c>
      <c r="F35">
        <v>0</v>
      </c>
      <c r="G35">
        <v>6244</v>
      </c>
      <c r="I35">
        <v>1350.7910039999999</v>
      </c>
    </row>
    <row r="36" spans="1:9">
      <c r="A36">
        <v>1993</v>
      </c>
      <c r="B36">
        <v>827</v>
      </c>
      <c r="C36">
        <v>3841</v>
      </c>
      <c r="D36">
        <v>0</v>
      </c>
      <c r="E36">
        <v>0</v>
      </c>
      <c r="F36">
        <v>0</v>
      </c>
      <c r="G36">
        <v>4668</v>
      </c>
      <c r="I36">
        <v>1333.4906570000001</v>
      </c>
    </row>
    <row r="37" spans="1:9">
      <c r="A37">
        <v>1994</v>
      </c>
      <c r="B37">
        <v>2302</v>
      </c>
      <c r="C37">
        <v>2525</v>
      </c>
      <c r="D37">
        <v>0</v>
      </c>
      <c r="E37">
        <v>0</v>
      </c>
      <c r="F37">
        <v>0</v>
      </c>
      <c r="G37">
        <v>4827</v>
      </c>
      <c r="I37">
        <v>1298.077726</v>
      </c>
    </row>
    <row r="38" spans="1:9">
      <c r="A38">
        <v>1995</v>
      </c>
      <c r="B38">
        <v>309</v>
      </c>
      <c r="C38">
        <v>2133</v>
      </c>
      <c r="D38">
        <v>0</v>
      </c>
      <c r="E38">
        <v>0</v>
      </c>
      <c r="F38">
        <v>0</v>
      </c>
      <c r="G38">
        <v>2442</v>
      </c>
      <c r="I38">
        <v>1186.271604</v>
      </c>
    </row>
    <row r="39" spans="1:9">
      <c r="A39">
        <v>1996</v>
      </c>
      <c r="B39">
        <v>436</v>
      </c>
      <c r="C39">
        <v>3695</v>
      </c>
      <c r="D39">
        <v>0</v>
      </c>
      <c r="E39">
        <v>0</v>
      </c>
      <c r="F39">
        <v>0</v>
      </c>
      <c r="G39">
        <v>4131</v>
      </c>
      <c r="I39">
        <v>1121.1759360000001</v>
      </c>
    </row>
    <row r="40" spans="1:9">
      <c r="A40">
        <v>1997</v>
      </c>
      <c r="B40">
        <v>1151</v>
      </c>
      <c r="C40">
        <v>2682</v>
      </c>
      <c r="D40">
        <v>0</v>
      </c>
      <c r="E40">
        <v>0</v>
      </c>
      <c r="F40">
        <v>0</v>
      </c>
      <c r="G40">
        <v>3833</v>
      </c>
      <c r="I40">
        <v>1035.7113489999999</v>
      </c>
    </row>
    <row r="41" spans="1:9">
      <c r="A41">
        <v>1998</v>
      </c>
      <c r="B41">
        <v>2192</v>
      </c>
      <c r="C41">
        <v>3473</v>
      </c>
      <c r="D41">
        <v>0</v>
      </c>
      <c r="E41">
        <v>0</v>
      </c>
      <c r="F41">
        <v>0</v>
      </c>
      <c r="G41">
        <v>5665</v>
      </c>
      <c r="I41">
        <v>1058.6518470000001</v>
      </c>
    </row>
    <row r="42" spans="1:9">
      <c r="A42">
        <v>1999</v>
      </c>
      <c r="B42">
        <v>2628</v>
      </c>
      <c r="C42">
        <v>3729</v>
      </c>
      <c r="D42">
        <v>0</v>
      </c>
      <c r="E42">
        <v>0</v>
      </c>
      <c r="F42">
        <v>0</v>
      </c>
      <c r="G42">
        <v>6357</v>
      </c>
      <c r="I42">
        <v>956.63707999999997</v>
      </c>
    </row>
    <row r="43" spans="1:9">
      <c r="A43">
        <v>2000</v>
      </c>
      <c r="B43">
        <v>3280</v>
      </c>
      <c r="C43">
        <v>5431</v>
      </c>
      <c r="D43">
        <v>0</v>
      </c>
      <c r="E43">
        <v>0</v>
      </c>
      <c r="F43">
        <v>0</v>
      </c>
      <c r="G43">
        <v>8711</v>
      </c>
      <c r="I43">
        <v>946.46885999999995</v>
      </c>
    </row>
    <row r="44" spans="1:9">
      <c r="A44">
        <v>2001</v>
      </c>
      <c r="B44">
        <v>5037</v>
      </c>
      <c r="C44">
        <v>6751</v>
      </c>
      <c r="D44">
        <v>0</v>
      </c>
      <c r="E44">
        <v>0</v>
      </c>
      <c r="F44">
        <v>0</v>
      </c>
      <c r="G44">
        <v>11788</v>
      </c>
      <c r="I44">
        <v>878.17916500000001</v>
      </c>
    </row>
    <row r="45" spans="1:9">
      <c r="A45">
        <v>2002</v>
      </c>
      <c r="B45">
        <v>6741</v>
      </c>
      <c r="C45">
        <v>6517</v>
      </c>
      <c r="D45">
        <v>0</v>
      </c>
      <c r="E45">
        <v>0</v>
      </c>
      <c r="F45">
        <v>0</v>
      </c>
      <c r="G45">
        <v>13258</v>
      </c>
      <c r="I45">
        <v>950.96548800000005</v>
      </c>
    </row>
    <row r="46" spans="1:9">
      <c r="A46">
        <v>2003</v>
      </c>
      <c r="B46">
        <v>5954</v>
      </c>
      <c r="C46">
        <v>6873</v>
      </c>
      <c r="D46">
        <v>0</v>
      </c>
      <c r="E46">
        <v>0</v>
      </c>
      <c r="F46">
        <v>0</v>
      </c>
      <c r="G46">
        <v>12827</v>
      </c>
      <c r="I46">
        <v>995.42760499999997</v>
      </c>
    </row>
    <row r="47" spans="1:9">
      <c r="A47">
        <v>2004</v>
      </c>
      <c r="B47">
        <v>8415</v>
      </c>
      <c r="C47">
        <v>9838</v>
      </c>
      <c r="D47">
        <v>0</v>
      </c>
      <c r="E47">
        <v>0</v>
      </c>
      <c r="F47">
        <v>0</v>
      </c>
      <c r="G47">
        <v>18253</v>
      </c>
      <c r="I47">
        <v>1129.7362740000001</v>
      </c>
    </row>
    <row r="48" spans="1:9">
      <c r="A48">
        <v>2005</v>
      </c>
      <c r="B48">
        <v>7278</v>
      </c>
      <c r="C48">
        <v>14536</v>
      </c>
      <c r="D48">
        <v>0</v>
      </c>
      <c r="E48">
        <v>0</v>
      </c>
      <c r="F48">
        <v>0</v>
      </c>
      <c r="G48">
        <v>21814</v>
      </c>
      <c r="I48">
        <v>1322.89059</v>
      </c>
    </row>
    <row r="49" spans="1:9">
      <c r="A49">
        <v>2006</v>
      </c>
      <c r="B49">
        <v>3938</v>
      </c>
      <c r="C49">
        <v>12051</v>
      </c>
      <c r="D49">
        <v>0</v>
      </c>
      <c r="E49">
        <v>0</v>
      </c>
      <c r="F49">
        <v>0</v>
      </c>
      <c r="G49">
        <v>15989</v>
      </c>
      <c r="I49">
        <v>1426.6893130000001</v>
      </c>
    </row>
    <row r="50" spans="1:9">
      <c r="A50">
        <v>2007</v>
      </c>
      <c r="B50">
        <v>4855</v>
      </c>
      <c r="C50">
        <v>11951</v>
      </c>
      <c r="D50">
        <v>0</v>
      </c>
      <c r="E50">
        <v>0</v>
      </c>
      <c r="F50">
        <v>0</v>
      </c>
      <c r="G50">
        <v>16815</v>
      </c>
      <c r="I50">
        <v>1554.1019920000001</v>
      </c>
    </row>
    <row r="51" spans="1:9">
      <c r="A51">
        <v>2008</v>
      </c>
      <c r="B51">
        <v>6207</v>
      </c>
      <c r="C51">
        <v>14814</v>
      </c>
      <c r="D51">
        <v>0</v>
      </c>
      <c r="E51">
        <v>0</v>
      </c>
      <c r="F51">
        <v>0</v>
      </c>
      <c r="G51">
        <v>21021</v>
      </c>
      <c r="I51">
        <v>1710.018202</v>
      </c>
    </row>
    <row r="52" spans="1:9">
      <c r="A52">
        <v>2009</v>
      </c>
      <c r="B52">
        <v>5477</v>
      </c>
      <c r="C52">
        <v>17648</v>
      </c>
      <c r="D52">
        <v>0</v>
      </c>
      <c r="E52">
        <v>0</v>
      </c>
      <c r="F52">
        <v>0</v>
      </c>
      <c r="G52">
        <v>23126</v>
      </c>
      <c r="I52">
        <v>1844.2800070000001</v>
      </c>
    </row>
    <row r="53" spans="1:9">
      <c r="A53">
        <v>2010</v>
      </c>
      <c r="B53">
        <v>9310</v>
      </c>
      <c r="C53">
        <v>16592</v>
      </c>
      <c r="D53">
        <v>0</v>
      </c>
      <c r="E53">
        <v>0</v>
      </c>
      <c r="F53">
        <v>0</v>
      </c>
      <c r="G53">
        <v>25903</v>
      </c>
      <c r="I53">
        <v>1963.6064510000001</v>
      </c>
    </row>
    <row r="54" spans="1:9">
      <c r="I54">
        <v>2257.0469189999999</v>
      </c>
    </row>
    <row r="55" spans="1:9">
      <c r="I55">
        <v>2349.413724</v>
      </c>
    </row>
    <row r="56" spans="1:9">
      <c r="I56">
        <v>2324.4415119999999</v>
      </c>
    </row>
    <row r="57" spans="1:9">
      <c r="I57">
        <v>2534.084883</v>
      </c>
    </row>
    <row r="58" spans="1:9">
      <c r="I58">
        <v>52.441119</v>
      </c>
    </row>
    <row r="319" spans="1:3">
      <c r="A319" t="s">
        <v>242</v>
      </c>
      <c r="B319" t="s">
        <v>120</v>
      </c>
      <c r="C319" t="s">
        <v>184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46" sqref="J46:V46"/>
    </sheetView>
  </sheetViews>
  <sheetFormatPr baseColWidth="10" defaultColWidth="8.83203125" defaultRowHeight="14" x14ac:dyDescent="0"/>
  <sheetData>
    <row r="1" spans="1:11">
      <c r="A1" t="s">
        <v>1</v>
      </c>
      <c r="B1" t="s">
        <v>71</v>
      </c>
    </row>
    <row r="2" spans="1:11">
      <c r="A2" t="s">
        <v>72</v>
      </c>
      <c r="B2" t="s">
        <v>35</v>
      </c>
      <c r="C2" t="s">
        <v>36</v>
      </c>
      <c r="D2" t="s">
        <v>38</v>
      </c>
      <c r="E2" t="s">
        <v>40</v>
      </c>
      <c r="F2" t="s">
        <v>41</v>
      </c>
      <c r="G2" t="s">
        <v>47</v>
      </c>
      <c r="H2" t="s">
        <v>45</v>
      </c>
      <c r="I2" t="s">
        <v>51</v>
      </c>
      <c r="J2" t="s">
        <v>39</v>
      </c>
      <c r="K2" t="s">
        <v>54</v>
      </c>
    </row>
    <row r="3" spans="1:11">
      <c r="A3" t="s">
        <v>35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>
      <c r="A4" t="s">
        <v>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38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</row>
    <row r="6" spans="1:11">
      <c r="A6" t="s">
        <v>40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 t="s">
        <v>41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</row>
    <row r="8" spans="1:11">
      <c r="A8" t="s">
        <v>47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>
      <c r="A9" t="s">
        <v>45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>
      <c r="A10" t="s">
        <v>51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</row>
    <row r="11" spans="1:11">
      <c r="A11" t="s">
        <v>39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</row>
    <row r="12" spans="1:11">
      <c r="A12" t="s">
        <v>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LeMANS inputs</vt:lpstr>
      <vt:lpstr>just10_firsttry</vt:lpstr>
      <vt:lpstr>just10_newset_hydra_sim_GB</vt:lpstr>
      <vt:lpstr>just10_newset_hydra_sim_MAB</vt:lpstr>
      <vt:lpstr>biomass Atlantis newsimGB</vt:lpstr>
      <vt:lpstr>catch Atlantis newsimGB</vt:lpstr>
      <vt:lpstr>biomass Atlantis</vt:lpstr>
      <vt:lpstr>biomass SAs</vt:lpstr>
      <vt:lpstr>catch Atlantis</vt:lpstr>
      <vt:lpstr>Catch SAs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sgaichas</dc:creator>
  <cp:lastModifiedBy>Sarah</cp:lastModifiedBy>
  <dcterms:created xsi:type="dcterms:W3CDTF">2012-07-25T20:19:52Z</dcterms:created>
  <dcterms:modified xsi:type="dcterms:W3CDTF">2016-04-15T19:44:44Z</dcterms:modified>
</cp:coreProperties>
</file>