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9980" windowHeight="960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Z34" i="1"/>
  <c r="AA32"/>
  <c r="Z32"/>
  <c r="Y32"/>
  <c r="X32"/>
  <c r="J34"/>
  <c r="R34"/>
  <c r="N34"/>
  <c r="F34"/>
  <c r="W32"/>
  <c r="V32"/>
  <c r="U32"/>
  <c r="T32"/>
  <c r="S32"/>
  <c r="R32"/>
  <c r="Q32"/>
  <c r="P32"/>
  <c r="O32"/>
  <c r="N32"/>
  <c r="M32"/>
  <c r="L32"/>
  <c r="K32"/>
  <c r="J32"/>
  <c r="I32"/>
  <c r="H32"/>
  <c r="G32"/>
  <c r="F32"/>
  <c r="E32"/>
  <c r="D32"/>
  <c r="Y30"/>
  <c r="R30"/>
  <c r="N30"/>
  <c r="J30"/>
  <c r="F30"/>
  <c r="Y28"/>
  <c r="X28"/>
  <c r="W28"/>
  <c r="V28"/>
  <c r="U28"/>
  <c r="T28"/>
  <c r="S28"/>
  <c r="R28"/>
  <c r="Q28"/>
  <c r="P28"/>
  <c r="O28"/>
  <c r="N28"/>
  <c r="M28"/>
  <c r="L28"/>
  <c r="K28"/>
  <c r="J28"/>
  <c r="I28"/>
  <c r="H28"/>
  <c r="G28"/>
  <c r="F28"/>
  <c r="E28"/>
  <c r="D28"/>
  <c r="P19"/>
  <c r="L19"/>
  <c r="R17"/>
  <c r="Q17"/>
  <c r="P17"/>
  <c r="O17"/>
  <c r="N17"/>
  <c r="M17"/>
  <c r="L17"/>
  <c r="K17"/>
  <c r="H19"/>
  <c r="F19"/>
  <c r="D19"/>
  <c r="L14"/>
  <c r="J14"/>
  <c r="H14"/>
  <c r="F14"/>
  <c r="D14"/>
  <c r="D10"/>
  <c r="R10"/>
  <c r="N10"/>
  <c r="J10"/>
  <c r="F10"/>
  <c r="Z6"/>
  <c r="R6"/>
  <c r="J6"/>
  <c r="F6"/>
  <c r="D6"/>
  <c r="G21"/>
  <c r="F21"/>
  <c r="E21"/>
  <c r="D21"/>
  <c r="C21"/>
  <c r="J17"/>
  <c r="I17"/>
  <c r="H17"/>
  <c r="G17"/>
  <c r="F17"/>
  <c r="E17"/>
  <c r="D17"/>
  <c r="C17"/>
  <c r="L12"/>
  <c r="K12"/>
  <c r="J12"/>
  <c r="I12"/>
  <c r="H12"/>
  <c r="G12"/>
  <c r="F12"/>
  <c r="E12"/>
  <c r="D12"/>
  <c r="C12"/>
  <c r="S8"/>
  <c r="R8"/>
  <c r="Q8"/>
  <c r="P8"/>
  <c r="O8"/>
  <c r="N8"/>
  <c r="M8"/>
  <c r="L8"/>
  <c r="K8"/>
  <c r="J8"/>
  <c r="I8"/>
  <c r="H8"/>
  <c r="G8"/>
  <c r="F8"/>
  <c r="E8"/>
  <c r="D8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</calcChain>
</file>

<file path=xl/sharedStrings.xml><?xml version="1.0" encoding="utf-8"?>
<sst xmlns="http://schemas.openxmlformats.org/spreadsheetml/2006/main" count="23" uniqueCount="23">
  <si>
    <t>cod meanstomwt</t>
  </si>
  <si>
    <t>cod n</t>
  </si>
  <si>
    <t>haddock n</t>
  </si>
  <si>
    <t>haddock meanstomwt</t>
  </si>
  <si>
    <t>yellowtail n</t>
  </si>
  <si>
    <t>yellowtail meanstomwt</t>
  </si>
  <si>
    <t>longhorn sculpin n</t>
  </si>
  <si>
    <t>longhorn sculpin meanstomwt</t>
  </si>
  <si>
    <t>from tmfnec28</t>
  </si>
  <si>
    <t>top of cm lbin</t>
  </si>
  <si>
    <t>use for</t>
  </si>
  <si>
    <t>searaven</t>
  </si>
  <si>
    <t>sandlance</t>
  </si>
  <si>
    <t>butterfish n</t>
  </si>
  <si>
    <t>butterfish meanstomwt</t>
  </si>
  <si>
    <t xml:space="preserve">use cod for upper </t>
  </si>
  <si>
    <t>fake dogfish</t>
  </si>
  <si>
    <t>based on cod</t>
  </si>
  <si>
    <t>fake winterskate</t>
  </si>
  <si>
    <t>based on haddock</t>
  </si>
  <si>
    <t>and some cod</t>
  </si>
  <si>
    <t>herring</t>
  </si>
  <si>
    <t>mackerel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</si>
</sst>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"/>
  <sheetViews>
    <sheetView tabSelected="1" workbookViewId="0">
      <selection activeCell="B24" sqref="B24"/>
    </sheetView>
  </sheetViews>
  <sheetFormatPr defaultRowHeight="15"/>
  <sheetData>
    <row r="1" spans="1:26">
      <c r="B1" t="s">
        <v>8</v>
      </c>
    </row>
    <row r="3" spans="1:26">
      <c r="B3" t="s">
        <v>9</v>
      </c>
      <c r="C3">
        <v>5</v>
      </c>
      <c r="D3">
        <v>10</v>
      </c>
      <c r="E3">
        <v>15</v>
      </c>
      <c r="F3">
        <v>20</v>
      </c>
      <c r="G3">
        <v>25</v>
      </c>
      <c r="H3">
        <v>30</v>
      </c>
      <c r="I3">
        <v>35</v>
      </c>
      <c r="J3">
        <v>40</v>
      </c>
      <c r="K3">
        <v>45</v>
      </c>
      <c r="L3">
        <v>50</v>
      </c>
      <c r="M3">
        <v>55</v>
      </c>
      <c r="N3">
        <v>60</v>
      </c>
      <c r="O3">
        <v>65</v>
      </c>
      <c r="P3">
        <v>70</v>
      </c>
      <c r="Q3">
        <v>75</v>
      </c>
      <c r="R3">
        <v>80</v>
      </c>
      <c r="S3">
        <v>85</v>
      </c>
      <c r="T3">
        <v>90</v>
      </c>
      <c r="U3">
        <v>95</v>
      </c>
      <c r="V3">
        <v>100</v>
      </c>
      <c r="W3">
        <v>105</v>
      </c>
      <c r="X3">
        <v>110</v>
      </c>
      <c r="Y3">
        <v>115</v>
      </c>
    </row>
    <row r="4" spans="1:26">
      <c r="B4" t="s">
        <v>1</v>
      </c>
      <c r="D4">
        <f>35-8</f>
        <v>27</v>
      </c>
      <c r="E4">
        <f>83-14</f>
        <v>69</v>
      </c>
      <c r="F4">
        <f>51-10</f>
        <v>41</v>
      </c>
      <c r="G4">
        <f>41-7</f>
        <v>34</v>
      </c>
      <c r="H4">
        <f>81-6</f>
        <v>75</v>
      </c>
      <c r="I4">
        <f>116-9</f>
        <v>107</v>
      </c>
      <c r="J4">
        <f>120-10</f>
        <v>110</v>
      </c>
      <c r="K4">
        <f>117-8</f>
        <v>109</v>
      </c>
      <c r="L4">
        <f>139-6</f>
        <v>133</v>
      </c>
      <c r="M4">
        <f>115-14</f>
        <v>101</v>
      </c>
      <c r="N4">
        <f>126-13</f>
        <v>113</v>
      </c>
      <c r="O4">
        <f>122-10</f>
        <v>112</v>
      </c>
      <c r="P4">
        <f>119-9</f>
        <v>110</v>
      </c>
      <c r="Q4">
        <f>111-9</f>
        <v>102</v>
      </c>
      <c r="R4">
        <f>84-9</f>
        <v>75</v>
      </c>
      <c r="S4">
        <f>91-4</f>
        <v>87</v>
      </c>
      <c r="T4">
        <f>44-5</f>
        <v>39</v>
      </c>
      <c r="U4">
        <f>32-4</f>
        <v>28</v>
      </c>
      <c r="V4">
        <f>30-2</f>
        <v>28</v>
      </c>
      <c r="W4">
        <f>19-3</f>
        <v>16</v>
      </c>
      <c r="X4">
        <f>16-3</f>
        <v>13</v>
      </c>
      <c r="Y4">
        <f>14-0</f>
        <v>14</v>
      </c>
    </row>
    <row r="5" spans="1:26">
      <c r="B5" t="s">
        <v>0</v>
      </c>
      <c r="D5">
        <v>3.5000000000000003E-2</v>
      </c>
      <c r="E5">
        <v>8.1000000000000003E-2</v>
      </c>
      <c r="F5">
        <v>0.14199999999999999</v>
      </c>
      <c r="G5">
        <v>1.1120000000000001</v>
      </c>
      <c r="H5">
        <v>1.165</v>
      </c>
      <c r="I5">
        <v>2.0539999999999998</v>
      </c>
      <c r="J5">
        <v>2.6509999999999998</v>
      </c>
      <c r="K5">
        <v>4.6139999999999999</v>
      </c>
      <c r="L5">
        <v>7.9720000000000004</v>
      </c>
      <c r="M5">
        <v>12.759</v>
      </c>
      <c r="N5">
        <v>12.43</v>
      </c>
      <c r="O5">
        <v>22.413</v>
      </c>
      <c r="P5">
        <v>28.835999999999999</v>
      </c>
      <c r="Q5">
        <v>28.526</v>
      </c>
      <c r="R5">
        <v>38.683999999999997</v>
      </c>
      <c r="S5">
        <v>45.192999999999998</v>
      </c>
      <c r="T5">
        <v>57.401000000000003</v>
      </c>
      <c r="U5">
        <v>70.366</v>
      </c>
      <c r="V5">
        <v>146.90700000000001</v>
      </c>
      <c r="W5">
        <v>122.095</v>
      </c>
      <c r="X5">
        <v>165.94800000000001</v>
      </c>
      <c r="Y5">
        <v>188.91</v>
      </c>
    </row>
    <row r="6" spans="1:26">
      <c r="D6">
        <f>D5</f>
        <v>3.5000000000000003E-2</v>
      </c>
      <c r="F6">
        <f>((E5*E4)+(F5*F4))/(E4+F4)</f>
        <v>0.10373636363636363</v>
      </c>
      <c r="J6">
        <f>((G5*G4)+(H5*H4)+(I5*I4)+(J5*J4))/SUM(G4:J4)</f>
        <v>1.9526717791411041</v>
      </c>
      <c r="R6">
        <f>SUM(K5*K4,L5*L4,M5*M4,N5*N4,O5*O4,P5*P4,Q5*Q4,R5*R4)/SUM(K4:R4)</f>
        <v>18.420607017543862</v>
      </c>
      <c r="Z6">
        <f>SUM(S5*S4,T5*T4,U5*U4,V5*V4,W5*W4,X5*X4,Y5*Y4)/SUM(S4:Y4)</f>
        <v>84.487368888888909</v>
      </c>
    </row>
    <row r="8" spans="1:26">
      <c r="B8" t="s">
        <v>2</v>
      </c>
      <c r="D8">
        <f>17-4</f>
        <v>13</v>
      </c>
      <c r="E8">
        <f>208-13</f>
        <v>195</v>
      </c>
      <c r="F8">
        <f>102-3</f>
        <v>99</v>
      </c>
      <c r="G8">
        <f>91-5</f>
        <v>86</v>
      </c>
      <c r="H8">
        <f>84-9</f>
        <v>75</v>
      </c>
      <c r="I8">
        <f>128-3</f>
        <v>125</v>
      </c>
      <c r="J8">
        <f>154-9</f>
        <v>145</v>
      </c>
      <c r="K8">
        <f>120-7</f>
        <v>113</v>
      </c>
      <c r="L8">
        <f>130-7</f>
        <v>123</v>
      </c>
      <c r="M8">
        <f>129-12</f>
        <v>117</v>
      </c>
      <c r="N8">
        <f>115-12</f>
        <v>103</v>
      </c>
      <c r="O8">
        <f>83-1</f>
        <v>82</v>
      </c>
      <c r="P8">
        <f>50-1</f>
        <v>49</v>
      </c>
      <c r="Q8">
        <f>35-2</f>
        <v>33</v>
      </c>
      <c r="R8">
        <f>14-0</f>
        <v>14</v>
      </c>
      <c r="S8">
        <f>9-0</f>
        <v>9</v>
      </c>
    </row>
    <row r="9" spans="1:26">
      <c r="B9" t="s">
        <v>3</v>
      </c>
      <c r="D9">
        <v>3.1E-2</v>
      </c>
      <c r="E9">
        <v>7.8E-2</v>
      </c>
      <c r="F9">
        <v>0.13200000000000001</v>
      </c>
      <c r="G9">
        <v>0.34399999999999997</v>
      </c>
      <c r="H9">
        <v>0.629</v>
      </c>
      <c r="I9">
        <v>1.0629999999999999</v>
      </c>
      <c r="J9">
        <v>1.3460000000000001</v>
      </c>
      <c r="K9">
        <v>2.5619999999999998</v>
      </c>
      <c r="L9">
        <v>3.52</v>
      </c>
      <c r="M9">
        <v>4.2160000000000002</v>
      </c>
      <c r="N9">
        <v>5.53</v>
      </c>
      <c r="O9">
        <v>7.4379999999999997</v>
      </c>
      <c r="P9">
        <v>9.5950000000000006</v>
      </c>
      <c r="Q9">
        <v>20.606999999999999</v>
      </c>
      <c r="R9">
        <v>20.099</v>
      </c>
      <c r="S9">
        <v>24.021000000000001</v>
      </c>
    </row>
    <row r="10" spans="1:26">
      <c r="D10">
        <f>D9</f>
        <v>3.1E-2</v>
      </c>
      <c r="F10">
        <f>((E9*E8)+(F9*F8))/(E8+F8)</f>
        <v>9.6183673469387762E-2</v>
      </c>
      <c r="J10">
        <f>((G9*G8)+(H9*H8)+(I9*I8)+(J9*J8))/SUM(G8:J8)</f>
        <v>0.93922041763341058</v>
      </c>
      <c r="N10">
        <f>((K9*K8)+(L9*L8)+(M9*M8)+(N9*N8))/SUM(K8:N8)</f>
        <v>3.9151929824561402</v>
      </c>
      <c r="R10">
        <f>((O9*O8)+(P9*P8)+(Q9*Q8)+(R9*R8)+(S9*S8))/SUM(O8:S8)</f>
        <v>12.073139037433153</v>
      </c>
    </row>
    <row r="12" spans="1:26">
      <c r="B12" t="s">
        <v>4</v>
      </c>
      <c r="C12">
        <f>39-22</f>
        <v>17</v>
      </c>
      <c r="D12">
        <f>77-25</f>
        <v>52</v>
      </c>
      <c r="E12">
        <f>21-6</f>
        <v>15</v>
      </c>
      <c r="F12">
        <f>23-9</f>
        <v>14</v>
      </c>
      <c r="G12">
        <f>63-16</f>
        <v>47</v>
      </c>
      <c r="H12">
        <f>186-63</f>
        <v>123</v>
      </c>
      <c r="I12">
        <f>337-108</f>
        <v>229</v>
      </c>
      <c r="J12">
        <f>191-62</f>
        <v>129</v>
      </c>
      <c r="K12">
        <f>60-20</f>
        <v>40</v>
      </c>
      <c r="L12">
        <f>20-4</f>
        <v>16</v>
      </c>
    </row>
    <row r="13" spans="1:26">
      <c r="B13" t="s">
        <v>5</v>
      </c>
      <c r="C13">
        <v>1E-3</v>
      </c>
      <c r="D13">
        <v>2.1000000000000001E-2</v>
      </c>
      <c r="E13">
        <v>7.1999999999999995E-2</v>
      </c>
      <c r="F13">
        <v>0.10299999999999999</v>
      </c>
      <c r="G13">
        <v>0.23</v>
      </c>
      <c r="H13">
        <v>0.24099999999999999</v>
      </c>
      <c r="I13">
        <v>0.375</v>
      </c>
      <c r="J13">
        <v>0.56299999999999994</v>
      </c>
      <c r="K13">
        <v>0.95</v>
      </c>
      <c r="L13">
        <v>3.1659999999999999</v>
      </c>
    </row>
    <row r="14" spans="1:26">
      <c r="D14">
        <f>((C13*C12)+(D13*D12))/(C12+D12)</f>
        <v>1.6072463768115941E-2</v>
      </c>
      <c r="F14">
        <f>((E13*E12)+(F13*F12))/(E12+F12)</f>
        <v>8.6965517241379298E-2</v>
      </c>
      <c r="H14">
        <f>((G13*G12)+(H13*H12))/(G12+H12)</f>
        <v>0.23795882352941178</v>
      </c>
      <c r="J14">
        <f>((I13*I12)+(J13*J12))/(I12+J12)</f>
        <v>0.44274301675977656</v>
      </c>
      <c r="L14">
        <f>((K13*K12)+(L13*L12))/(K12+L12)</f>
        <v>1.5831428571428572</v>
      </c>
    </row>
    <row r="16" spans="1:26">
      <c r="A16" t="s">
        <v>10</v>
      </c>
      <c r="K16" t="s">
        <v>15</v>
      </c>
    </row>
    <row r="17" spans="1:27">
      <c r="A17" t="s">
        <v>11</v>
      </c>
      <c r="B17" t="s">
        <v>6</v>
      </c>
      <c r="C17">
        <f>36-8</f>
        <v>28</v>
      </c>
      <c r="D17">
        <f>163-34</f>
        <v>129</v>
      </c>
      <c r="E17">
        <f>40-4</f>
        <v>36</v>
      </c>
      <c r="F17">
        <f>54-19</f>
        <v>35</v>
      </c>
      <c r="G17">
        <f>134-33</f>
        <v>101</v>
      </c>
      <c r="H17">
        <f>224-51</f>
        <v>173</v>
      </c>
      <c r="I17">
        <f>56-9</f>
        <v>47</v>
      </c>
      <c r="J17">
        <f>2-0</f>
        <v>2</v>
      </c>
      <c r="K17">
        <f>117-8</f>
        <v>109</v>
      </c>
      <c r="L17">
        <f>139-6</f>
        <v>133</v>
      </c>
      <c r="M17">
        <f>115-14</f>
        <v>101</v>
      </c>
      <c r="N17">
        <f>126-13</f>
        <v>113</v>
      </c>
      <c r="O17">
        <f>122-10</f>
        <v>112</v>
      </c>
      <c r="P17">
        <f>119-9</f>
        <v>110</v>
      </c>
      <c r="Q17">
        <f>111-9</f>
        <v>102</v>
      </c>
      <c r="R17">
        <f>84-9</f>
        <v>75</v>
      </c>
    </row>
    <row r="18" spans="1:27">
      <c r="B18" t="s">
        <v>7</v>
      </c>
      <c r="C18">
        <v>8.9999999999999993E-3</v>
      </c>
      <c r="D18">
        <v>0.05</v>
      </c>
      <c r="E18">
        <v>0.24399999999999999</v>
      </c>
      <c r="F18">
        <v>0.374</v>
      </c>
      <c r="G18">
        <v>0.53500000000000003</v>
      </c>
      <c r="H18">
        <v>1.266</v>
      </c>
      <c r="I18">
        <v>2.302</v>
      </c>
      <c r="J18">
        <v>3.7679999999999998</v>
      </c>
      <c r="K18">
        <v>4.6139999999999999</v>
      </c>
      <c r="L18">
        <v>7.9720000000000004</v>
      </c>
      <c r="M18">
        <v>12.759</v>
      </c>
      <c r="N18">
        <v>12.43</v>
      </c>
      <c r="O18">
        <v>22.413</v>
      </c>
      <c r="P18">
        <v>28.835999999999999</v>
      </c>
      <c r="Q18">
        <v>28.526</v>
      </c>
      <c r="R18">
        <v>38.683999999999997</v>
      </c>
    </row>
    <row r="19" spans="1:27">
      <c r="D19">
        <f>((C18*C17)+(D18*D17))/(C17+D17)</f>
        <v>4.2687898089171977E-2</v>
      </c>
      <c r="F19">
        <f>((E18*E17)+(F18*F17))/(E17+F17)</f>
        <v>0.30808450704225349</v>
      </c>
      <c r="H19">
        <f>((G18*G17)+(H18*H17))/(G17+H17)</f>
        <v>0.99654379562043793</v>
      </c>
      <c r="L19">
        <f>((I18*I17)+(J18*J17)+(K18*K17)+(L18*L17))/SUM(I17:L17)</f>
        <v>5.769525773195876</v>
      </c>
      <c r="P19">
        <f>((M18*M17)+(N18*N17)+(O18*O17)+(P18*P17))/SUM(M17:P17)</f>
        <v>19.209782110091744</v>
      </c>
    </row>
    <row r="21" spans="1:27">
      <c r="A21" t="s">
        <v>12</v>
      </c>
      <c r="B21" t="s">
        <v>13</v>
      </c>
      <c r="C21">
        <f>23-2</f>
        <v>21</v>
      </c>
      <c r="D21">
        <f>160-23</f>
        <v>137</v>
      </c>
      <c r="E21">
        <f>551-156</f>
        <v>395</v>
      </c>
      <c r="F21">
        <f>330-129</f>
        <v>201</v>
      </c>
      <c r="G21">
        <f>15-6</f>
        <v>9</v>
      </c>
    </row>
    <row r="22" spans="1:27">
      <c r="B22" t="s">
        <v>14</v>
      </c>
      <c r="C22">
        <v>1.2999999999999999E-2</v>
      </c>
      <c r="D22">
        <v>4.2000000000000003E-2</v>
      </c>
      <c r="E22">
        <v>9.0999999999999998E-2</v>
      </c>
      <c r="F22">
        <v>0.156</v>
      </c>
      <c r="G22">
        <v>0.19400000000000001</v>
      </c>
    </row>
    <row r="24" spans="1:27">
      <c r="A24" t="s">
        <v>21</v>
      </c>
    </row>
    <row r="25" spans="1:27">
      <c r="A25" t="s">
        <v>22</v>
      </c>
    </row>
    <row r="28" spans="1:27">
      <c r="B28" t="s">
        <v>16</v>
      </c>
      <c r="D28">
        <f>35-8</f>
        <v>27</v>
      </c>
      <c r="E28">
        <f>83-14</f>
        <v>69</v>
      </c>
      <c r="F28">
        <f>51-10</f>
        <v>41</v>
      </c>
      <c r="G28">
        <f>41-7</f>
        <v>34</v>
      </c>
      <c r="H28">
        <f>81-6</f>
        <v>75</v>
      </c>
      <c r="I28">
        <f>116-9</f>
        <v>107</v>
      </c>
      <c r="J28">
        <f>120-10</f>
        <v>110</v>
      </c>
      <c r="K28">
        <f>117-8</f>
        <v>109</v>
      </c>
      <c r="L28">
        <f>139-6</f>
        <v>133</v>
      </c>
      <c r="M28">
        <f>115-14</f>
        <v>101</v>
      </c>
      <c r="N28">
        <f>126-13</f>
        <v>113</v>
      </c>
      <c r="O28">
        <f>122-10</f>
        <v>112</v>
      </c>
      <c r="P28">
        <f>119-9</f>
        <v>110</v>
      </c>
      <c r="Q28">
        <f>111-9</f>
        <v>102</v>
      </c>
      <c r="R28">
        <f>84-9</f>
        <v>75</v>
      </c>
      <c r="S28">
        <f>91-4</f>
        <v>87</v>
      </c>
      <c r="T28">
        <f>44-5</f>
        <v>39</v>
      </c>
      <c r="U28">
        <f>32-4</f>
        <v>28</v>
      </c>
      <c r="V28">
        <f>30-2</f>
        <v>28</v>
      </c>
      <c r="W28">
        <f>19-3</f>
        <v>16</v>
      </c>
      <c r="X28">
        <f>16-3</f>
        <v>13</v>
      </c>
      <c r="Y28">
        <f>14-0</f>
        <v>14</v>
      </c>
    </row>
    <row r="29" spans="1:27">
      <c r="B29" t="s">
        <v>17</v>
      </c>
      <c r="D29">
        <v>3.5000000000000003E-2</v>
      </c>
      <c r="E29">
        <v>8.1000000000000003E-2</v>
      </c>
      <c r="F29">
        <v>0.14199999999999999</v>
      </c>
      <c r="G29">
        <v>1.1120000000000001</v>
      </c>
      <c r="H29">
        <v>1.165</v>
      </c>
      <c r="I29">
        <v>2.0539999999999998</v>
      </c>
      <c r="J29">
        <v>2.6509999999999998</v>
      </c>
      <c r="K29">
        <v>4.6139999999999999</v>
      </c>
      <c r="L29">
        <v>7.9720000000000004</v>
      </c>
      <c r="M29">
        <v>12.759</v>
      </c>
      <c r="N29">
        <v>12.43</v>
      </c>
      <c r="O29">
        <v>22.413</v>
      </c>
      <c r="P29">
        <v>28.835999999999999</v>
      </c>
      <c r="Q29">
        <v>28.526</v>
      </c>
      <c r="R29">
        <v>38.683999999999997</v>
      </c>
      <c r="S29">
        <v>45.192999999999998</v>
      </c>
      <c r="T29">
        <v>57.401000000000003</v>
      </c>
      <c r="U29">
        <v>70.366</v>
      </c>
      <c r="V29">
        <v>146.90700000000001</v>
      </c>
      <c r="W29">
        <v>122.095</v>
      </c>
      <c r="X29">
        <v>165.94800000000001</v>
      </c>
      <c r="Y29">
        <v>188.91</v>
      </c>
    </row>
    <row r="30" spans="1:27">
      <c r="F30">
        <f>((C29*C28)+(D29*D28)+(E29*E28)+(F29*F28))/SUM(C28:F28)</f>
        <v>9.0189781021897814E-2</v>
      </c>
      <c r="J30">
        <f>((G29*G28)+(H29*H28)+(I29*I28)+(J29*J28))/SUM(G28:J28)</f>
        <v>1.9526717791411041</v>
      </c>
      <c r="N30">
        <f>((K29*K28)+(L29*L28)+(M29*M28)+(N29*N28))/SUM(K28:N28)</f>
        <v>9.3343223684210521</v>
      </c>
      <c r="R30">
        <f>((O29*O28)+(P29*P28)+(Q29*Q28)+(R29*R28))/SUM(O28:R28)</f>
        <v>28.804932330827068</v>
      </c>
      <c r="Y30">
        <f>SUM(S29*S28,T29*T28,U29*U28,V29*V28,W29*W28,X29*X28)/SUM(S28:X28)</f>
        <v>77.558853080568724</v>
      </c>
    </row>
    <row r="32" spans="1:27">
      <c r="B32" t="s">
        <v>18</v>
      </c>
      <c r="D32">
        <f>17-4</f>
        <v>13</v>
      </c>
      <c r="E32">
        <f>208-13</f>
        <v>195</v>
      </c>
      <c r="F32">
        <f>102-3</f>
        <v>99</v>
      </c>
      <c r="G32">
        <f>91-5</f>
        <v>86</v>
      </c>
      <c r="H32">
        <f>84-9</f>
        <v>75</v>
      </c>
      <c r="I32">
        <f>128-3</f>
        <v>125</v>
      </c>
      <c r="J32">
        <f>154-9</f>
        <v>145</v>
      </c>
      <c r="K32">
        <f>120-7</f>
        <v>113</v>
      </c>
      <c r="L32">
        <f>130-7</f>
        <v>123</v>
      </c>
      <c r="M32">
        <f>129-12</f>
        <v>117</v>
      </c>
      <c r="N32">
        <f>115-12</f>
        <v>103</v>
      </c>
      <c r="O32">
        <f>83-1</f>
        <v>82</v>
      </c>
      <c r="P32">
        <f>50-1</f>
        <v>49</v>
      </c>
      <c r="Q32">
        <f>35-2</f>
        <v>33</v>
      </c>
      <c r="R32">
        <f>14-0</f>
        <v>14</v>
      </c>
      <c r="S32">
        <f>9-0</f>
        <v>9</v>
      </c>
      <c r="T32">
        <f>119-9</f>
        <v>110</v>
      </c>
      <c r="U32">
        <f>111-9</f>
        <v>102</v>
      </c>
      <c r="V32">
        <f>84-9</f>
        <v>75</v>
      </c>
      <c r="W32">
        <f>91-4</f>
        <v>87</v>
      </c>
      <c r="X32">
        <f>44-5</f>
        <v>39</v>
      </c>
      <c r="Y32">
        <f>32-4</f>
        <v>28</v>
      </c>
      <c r="Z32">
        <f>30-2</f>
        <v>28</v>
      </c>
      <c r="AA32">
        <f>19-3</f>
        <v>16</v>
      </c>
    </row>
    <row r="33" spans="2:27">
      <c r="B33" t="s">
        <v>19</v>
      </c>
      <c r="D33">
        <v>3.1E-2</v>
      </c>
      <c r="E33">
        <v>7.8E-2</v>
      </c>
      <c r="F33">
        <v>0.13200000000000001</v>
      </c>
      <c r="G33">
        <v>0.34399999999999997</v>
      </c>
      <c r="H33">
        <v>0.629</v>
      </c>
      <c r="I33">
        <v>1.0629999999999999</v>
      </c>
      <c r="J33">
        <v>1.3460000000000001</v>
      </c>
      <c r="K33">
        <v>2.5619999999999998</v>
      </c>
      <c r="L33">
        <v>3.52</v>
      </c>
      <c r="M33">
        <v>4.2160000000000002</v>
      </c>
      <c r="N33">
        <v>5.53</v>
      </c>
      <c r="O33">
        <v>7.4379999999999997</v>
      </c>
      <c r="P33">
        <v>9.5950000000000006</v>
      </c>
      <c r="Q33">
        <v>20.606999999999999</v>
      </c>
      <c r="R33">
        <v>20.099</v>
      </c>
      <c r="S33">
        <v>24.021000000000001</v>
      </c>
      <c r="T33">
        <v>28.835999999999999</v>
      </c>
      <c r="U33">
        <v>28.526</v>
      </c>
      <c r="V33">
        <v>38.683999999999997</v>
      </c>
      <c r="W33">
        <v>45.192999999999998</v>
      </c>
      <c r="X33">
        <v>57.401000000000003</v>
      </c>
      <c r="Y33">
        <v>70.366</v>
      </c>
      <c r="Z33">
        <v>146.90700000000001</v>
      </c>
      <c r="AA33">
        <v>122.095</v>
      </c>
    </row>
    <row r="34" spans="2:27">
      <c r="B34" t="s">
        <v>20</v>
      </c>
      <c r="F34">
        <f>((C33*C32)+(D33*D32)+(E33*E32)+(F33*F32))/SUM(C32:F32)</f>
        <v>9.3423452768729653E-2</v>
      </c>
      <c r="J34">
        <f>((G33*G32)+(H33*H32)+(I33*I32)+(J33*J32))/SUM(G32:J32)</f>
        <v>0.93922041763341058</v>
      </c>
      <c r="N34">
        <f>((K33*K32)+(L33*L32)+(M33*M32)+(N33*N32))/SUM(K32:N32)</f>
        <v>3.9151929824561402</v>
      </c>
      <c r="R34">
        <f>((O33*O32)+(P33*P32)+(Q33*Q32)+(R33*R32))/SUM(O32:R32)</f>
        <v>11.469033707865167</v>
      </c>
      <c r="Z34">
        <f>SUM(S33*S32,T33*T32,U33*U32,V33*V32,W33*W32,X33*X32,Y33*Y32,Z33*Z32)/SUM(S32:Z32)</f>
        <v>44.881119246861921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sgaichas</dc:creator>
  <cp:lastModifiedBy>sgaichas</cp:lastModifiedBy>
  <dcterms:created xsi:type="dcterms:W3CDTF">2012-07-31T18:44:57Z</dcterms:created>
  <dcterms:modified xsi:type="dcterms:W3CDTF">2012-07-31T21:14:46Z</dcterms:modified>
</cp:coreProperties>
</file>